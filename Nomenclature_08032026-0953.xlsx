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<sst xmlns="http://schemas.openxmlformats.org/spreadsheetml/2006/main" uniqueCount="1662">
  <si>
    <t>Nomenclature code</t>
  </si>
  <si>
    <t>Nomenclature name</t>
  </si>
  <si>
    <t>Nomenclature type</t>
  </si>
  <si>
    <t>UoM</t>
  </si>
  <si>
    <t>Branded</t>
  </si>
  <si>
    <t>Consumable</t>
  </si>
  <si>
    <t>Assembled</t>
  </si>
  <si>
    <t>Pieces per UoM</t>
  </si>
  <si>
    <t>Optional</t>
  </si>
  <si>
    <t>Source</t>
  </si>
  <si>
    <t>Source SKU</t>
  </si>
  <si>
    <t>Model</t>
  </si>
  <si>
    <t>Item price, USD</t>
  </si>
  <si>
    <t>Dissolution</t>
  </si>
  <si>
    <t>Description</t>
  </si>
  <si>
    <t>Import procedure</t>
  </si>
  <si>
    <t>HS code</t>
  </si>
  <si>
    <t>Country of origin</t>
  </si>
  <si>
    <t>Pallet quantity, assembled</t>
  </si>
  <si>
    <t>Pallet spaces, assembled</t>
  </si>
  <si>
    <t>Pallet quantity, disassembled</t>
  </si>
  <si>
    <t>Pallet spaces, disassembled</t>
  </si>
  <si>
    <t>Item length, inch</t>
  </si>
  <si>
    <t>Item width, inch</t>
  </si>
  <si>
    <t>Item height, inch</t>
  </si>
  <si>
    <t>Item weight, lb</t>
  </si>
  <si>
    <t>Package length, inch</t>
  </si>
  <si>
    <t>Package width, inch</t>
  </si>
  <si>
    <t>Package height, inch</t>
  </si>
  <si>
    <t>Package weight, lb</t>
  </si>
  <si>
    <t>Comments</t>
  </si>
  <si>
    <t>Documents</t>
  </si>
  <si>
    <t>Image</t>
  </si>
  <si>
    <t>APCFM-001-001</t>
  </si>
  <si>
    <t>12 Cup Coffee Maker</t>
  </si>
  <si>
    <t>LOG goods</t>
  </si>
  <si>
    <t>Each</t>
  </si>
  <si>
    <t>False</t>
  </si>
  <si>
    <t>CT RNT</t>
  </si>
  <si>
    <t>Return</t>
  </si>
  <si>
    <t>EEE</t>
  </si>
  <si>
    <t>APCFM-001-002</t>
  </si>
  <si>
    <t>Mr. Coffee 12-cup Coffee Maker</t>
  </si>
  <si>
    <t>THD</t>
  </si>
  <si>
    <t>Mr. Coffee</t>
  </si>
  <si>
    <t>Classic functionality keeps brewing simple and easy. Just set it up, turn it on and brew. There you have it! Rich-tasting coffee expertly-brewed for you without the fuss. Grab-A-Cup Auto Pause is a lifesaver when you need a cup before the brew cycle is finished. It stops brewing so you can pour a rich-tasting cup and then finishes the brewing cycle after you place the carafe back in position. We put our best brewing forward with this easy-to-use, Simple Brew coffee maker. Experience the taste with the Mr. Coffee brand.</t>
  </si>
  <si>
    <t>Local Procurement</t>
  </si>
  <si>
    <t>8516.71.</t>
  </si>
  <si>
    <t>China</t>
  </si>
  <si>
    <t>APCFM-001-003</t>
  </si>
  <si>
    <t>Mr. Coffee 12-Cups Automatic Drip Coffee Maker</t>
  </si>
  <si>
    <t>STP USA</t>
  </si>
  <si>
    <t>APKTL-001-001</t>
  </si>
  <si>
    <t>1.8 L Electric Tea Kettle, Cordless</t>
  </si>
  <si>
    <t>APKTL-001-002</t>
  </si>
  <si>
    <t>Karl Home 7.5-Cup Glass and Stainless Steel Electric Kettle</t>
  </si>
  <si>
    <t>Karl Home</t>
  </si>
  <si>
    <t>The HD-1857-A 110-Volt 1500-Watt 1.8 l Electric Glass Kettle is the perfect blend of elegance and functionality. Not only is this kettle a beautiful addition to any kitchen countertop, but it also boils water efficiently, saving time and energy over the use of conventional stovetop kettles. A halo of blue LED lights beautifully illuminates the pot when it's in use, so it's not only practical, but very attractive to look at. In a matter of minutes, hot water will be ready to use for instant coffee, tea, hot cereal, instant macaroni, soup, or oatmeal.</t>
  </si>
  <si>
    <t>APKTL-001-003</t>
  </si>
  <si>
    <t>MegaChef Stainless Steel Electric Tea Kettle</t>
  </si>
  <si>
    <t>APLMP-001-001</t>
  </si>
  <si>
    <t>Desk Lamp</t>
  </si>
  <si>
    <t>FCWC25</t>
  </si>
  <si>
    <t>CORT</t>
  </si>
  <si>
    <t>APLMP-001-002</t>
  </si>
  <si>
    <t>Desk Lamp, Lepro 15.1 in.</t>
  </si>
  <si>
    <t>Lepro</t>
  </si>
  <si>
    <t>The Lepro 9.5W, 750lm LED desk lamp combines energy efficiency and sleek design, featuring a 15.1-inch aluminum and plastic construction. It provides bright, eye-friendly lighting with diffused, even illumination to reduce eye strain by minimizing contrast. Offering five color settings, it allows adjustable color temperatures (3000K-6500K) and dimmable brightness via touch-sensitive controls. The lamp also includes memory functionality for personalized lighting preferences, ensuring both flexibility and user convenience.</t>
  </si>
  <si>
    <t>APLMP-001-003</t>
  </si>
  <si>
    <t>Bostitch LED Desk Lamp</t>
  </si>
  <si>
    <t>APLMP-001-004</t>
  </si>
  <si>
    <t>Desk Lamp - CANADA</t>
  </si>
  <si>
    <t>STP CAN</t>
  </si>
  <si>
    <t>MNG1011008220L</t>
  </si>
  <si>
    <t>APLMP-001-005</t>
  </si>
  <si>
    <t>Desk Lamp - MEXICO</t>
  </si>
  <si>
    <t>STP MEX</t>
  </si>
  <si>
    <t>APLMP-002-001</t>
  </si>
  <si>
    <t>Ring Light (EOTO 18 in)</t>
  </si>
  <si>
    <t>Eoto</t>
  </si>
  <si>
    <t>9405.21.</t>
  </si>
  <si>
    <t>APLMP-002-002</t>
  </si>
  <si>
    <t>HOLD - Ring Light, Merra</t>
  </si>
  <si>
    <t>Merra</t>
  </si>
  <si>
    <t>Whether you're just looking for better selfies or a veteran vlogger, this professional ring light with dual phone holders is video recording equipment not to be missed. Our 900 Lumens phone and camera ring light not only provides more flexible lighting, able to range in color temperature from warm flattering candlelight to crisp cool daylight. Unlike bare selfie sticks, its 120 LED beads work from multiple lighting heights and angles hands free and can be used for attractive backlighting. Wherever you go, they are easily powered from any USB port or adapter. The 2 phone holders work with smartphones up to 6.5 in. and rest within and under the ring light. The tripod stand adjusts from less than 1 ft. 6 in. to nearly 5 ft. and collapses easily for easy transport and storage. At its minimum height, this LED light is a 1-of-a-kind table lamp for bedside tables, school and living room desks and more to provide soft light for reading or your next confession, review, reaction, unboxing or explainer. Standing at 59 in., it's ready for dances, pranks, days in the life and peeks behind the scenes. Both Android and iOS compatible, this selfie ring light stands ready to show the world just how charming and ravishing you can be. or just shine a little better light on everything from your lunch to your latest designs.</t>
  </si>
  <si>
    <t>APMCW-001-001</t>
  </si>
  <si>
    <t>Microwave (Avanti)</t>
  </si>
  <si>
    <t>Staples</t>
  </si>
  <si>
    <t>APMCW-001-002</t>
  </si>
  <si>
    <t>Microwave</t>
  </si>
  <si>
    <t>APMCW-001-003</t>
  </si>
  <si>
    <t>Microwave - Farberware</t>
  </si>
  <si>
    <t>Farberware</t>
  </si>
  <si>
    <t>The Farberware Classic Countertop Microwave delivers power, style and convenience with a compact design to compliment your kitchen. Features include 10 power levels and a Memory Function that stores and recalls your preferred cooking settings. The Farberware Classic offers an easy to operate digital interface with 1-6 minute express cook buttons, time or weight based defrost controls, an Add 30-Seconds control, as well as 6 pre-programmed cooking functions for popcorn, pizza, a dinner plate and more. Multi-stage cooking means that you can set the power level to adjust during the cooking cycle for perfect results without interruption. The LCD display provides a clock and kitchen timer. Compact but mighty, with a 0.7 cu. ft. cooking capacity, 700-Watt of power, and a rotating turntable, the Farberware Classic is the perfect multi-tasker for your kitchen.</t>
  </si>
  <si>
    <t>APMCW-001-004</t>
  </si>
  <si>
    <t>Avanti 0.7 Cu. Ft. Countertop Microwave</t>
  </si>
  <si>
    <t>APREF-001-001</t>
  </si>
  <si>
    <t>Fridge (Avanti)</t>
  </si>
  <si>
    <t>APREF-001-002</t>
  </si>
  <si>
    <t>Compact Refrigerator</t>
  </si>
  <si>
    <t>APREF-001-003</t>
  </si>
  <si>
    <t>Fridge - Avanti (THD)</t>
  </si>
  <si>
    <t>Avanti</t>
  </si>
  <si>
    <t>Keep your snacks and favorite beverages close by in the 3.3 cu. ft. refrigerator from Avanti. The perfect mini fridge for the office, dorm, man cave, she-shed, bar, bedroom, or anywhere you need a little extra refrigerator space. The adjustable door bins can accommodate 2-liter bottles as well as other drinks and condiments. Use the adjustable glass shelves to arrange salads, fruits, snacks, and other food for easy access throughout the day. This fridge features manual defrost, so your food and beverages remain fresh and cold. Select the right settings for your items with the full range temperature control.</t>
  </si>
  <si>
    <t>APREF-001-004</t>
  </si>
  <si>
    <t>Avanti RM3306W 19.5" 3.3 Cu. Ft. Refrigerator</t>
  </si>
  <si>
    <t>APWDP-001-001</t>
  </si>
  <si>
    <t>Water Dispenser (Primo)</t>
  </si>
  <si>
    <t>Primo</t>
  </si>
  <si>
    <t>APWDP-001-003</t>
  </si>
  <si>
    <t>Primo Water 5 Gal. Hot &amp; Cold Water Dispenser</t>
  </si>
  <si>
    <t>CTBAR-001-001</t>
  </si>
  <si>
    <t>Barrier with Belt, Chrome</t>
  </si>
  <si>
    <t>True</t>
  </si>
  <si>
    <t>730890 and 6307.90.9891</t>
  </si>
  <si>
    <t>CTBAR-001-002</t>
  </si>
  <si>
    <t>Stanchion W/Retractable Belt (Chrome, Silver, Black)</t>
  </si>
  <si>
    <t>CTBAR-001-003</t>
  </si>
  <si>
    <t>Barrier W/ Belt</t>
  </si>
  <si>
    <t>RGS</t>
  </si>
  <si>
    <t>7326.90.</t>
  </si>
  <si>
    <t>Assemble @ Venue</t>
  </si>
  <si>
    <t>CTBAR-001-004</t>
  </si>
  <si>
    <t>Barrier with Belt - Container</t>
  </si>
  <si>
    <t>CT RTL</t>
  </si>
  <si>
    <t>CTBAR-001-005</t>
  </si>
  <si>
    <t>Barrier with Belt - Non-Container</t>
  </si>
  <si>
    <t>CTBAR-001-006</t>
  </si>
  <si>
    <t>Barrier W/ Belt - New Procurement</t>
  </si>
  <si>
    <t>CTBAR-003-001</t>
  </si>
  <si>
    <t>Stanchion Sign Holder</t>
  </si>
  <si>
    <t>CTBAR-003-002</t>
  </si>
  <si>
    <t>Barrier Sign, US Weight Heavy-Duty Steel Stanchion Steel Frame Sign Holder with Plexiglass Covers</t>
  </si>
  <si>
    <t>US Weight</t>
  </si>
  <si>
    <t>Share your important message quickly with the US Weight sign kit. The sign holder perfectly fits on top of your US Weight steel stanchion or most 2.5 in. Dia stanchion posts and allows you to advertise wherever temporary or permanent signage is needed. The sign holder does not fit US Weight Sentinel stanchions and the post is not included. Promote specials or instruct consumer traffic through your queue using the rugged, steel frame with a visual area of 7.188 in. x 10.313 in. The frame accepts 8.5 in. x 11 in. documents and features a Plexiglass cover to keep your sign protected and supported. Create your own messages and easily change them out as you desire with the US Weight Sign Holder.</t>
  </si>
  <si>
    <t>https://www.homedepot.com/p/US-Weight-Heavy-Duty-Steel-Stanchion-Steel-Frame-Sign-Holder-with-Plexiglass-Covers-U2507/316330230</t>
  </si>
  <si>
    <t>CTBAR-003-003</t>
  </si>
  <si>
    <t>Barrier Sign</t>
  </si>
  <si>
    <t>8310.00.</t>
  </si>
  <si>
    <t>CTBAR-003-004</t>
  </si>
  <si>
    <t>CTCON-001-001</t>
  </si>
  <si>
    <t>Traffic Cone</t>
  </si>
  <si>
    <t>CTCON-001-002</t>
  </si>
  <si>
    <t>3926.90.</t>
  </si>
  <si>
    <t>United States</t>
  </si>
  <si>
    <t>CTDEQ-001-001</t>
  </si>
  <si>
    <t>Pedestal Sign Holder, Letter (Silver)</t>
  </si>
  <si>
    <t>7326.90.8680</t>
  </si>
  <si>
    <t>CTDEQ-001-002</t>
  </si>
  <si>
    <t>Pedestal Sign Holder, Letter (Black)</t>
  </si>
  <si>
    <t>CTDEQ-001-003</t>
  </si>
  <si>
    <t>Pedestal Sign Holder, Letter</t>
  </si>
  <si>
    <t>CTDEQ-001-004</t>
  </si>
  <si>
    <t>Pedestal Sign Holder, Letter, Black, Excello</t>
  </si>
  <si>
    <t>Excello Global Products</t>
  </si>
  <si>
    <t>Matte black display pedestal adjusts vertically from 30 to 48 in. maximum height to best suit the needs of your business or venue. Our snap frame easily opens to slide in your 8.5 x 11 artwork, advertisement, or display. Your display is protected by a clear plastic cover included. This adjustable floor pedestal features ridged metal base and stand with a black finish, great for businesses, restaurants, hotels, and convention centers. Set your display as landscape, portrait, or anything in between. This 360° swivel head allows your display to sit at the best possible viewing angle for your patrons.</t>
  </si>
  <si>
    <t>CTMGP-001-001</t>
  </si>
  <si>
    <t>Megaphone - Rechargeable</t>
  </si>
  <si>
    <t>8518.50.</t>
  </si>
  <si>
    <t>CTMGP-002-001</t>
  </si>
  <si>
    <t>Voice Amplifier</t>
  </si>
  <si>
    <t>8518.21.</t>
  </si>
  <si>
    <t>CTMGP-002-002</t>
  </si>
  <si>
    <t>8518.21.01</t>
  </si>
  <si>
    <t>CTMGP-002-003</t>
  </si>
  <si>
    <t>Delton A565 Tour Guide or School Portable Voice Amplifier with Wired Headset Microphone</t>
  </si>
  <si>
    <t>CTTAP-001-001</t>
  </si>
  <si>
    <t>Caution Tape (Barricade Tape)</t>
  </si>
  <si>
    <t>Roll</t>
  </si>
  <si>
    <t>Consumed</t>
  </si>
  <si>
    <t>USA</t>
  </si>
  <si>
    <t>CTTAP-001-002</t>
  </si>
  <si>
    <t>Caution Tape - THD</t>
  </si>
  <si>
    <t>Empire</t>
  </si>
  <si>
    <t>The Empire Caution Tape is durable and reusable to keeps sites safe. Barricade Tape is used by Professionals in law enforcement, safety, construction, painting, mining, hardware and utilities. This warning labeled caution tape utilizes a disposable, economical marking solution to ensure that all necessary caution warnings are given. We ensure its consistency by using virgin resigns to ensure longest lasting/most durable caution tape available.</t>
  </si>
  <si>
    <t>CTTAP-002-001</t>
  </si>
  <si>
    <t>Floor Marking Tape</t>
  </si>
  <si>
    <t>CTTAP-002-002</t>
  </si>
  <si>
    <t>Floor Marking Tape - Empire</t>
  </si>
  <si>
    <t>The Empire 76-0050 2 in. x 54 ft. adhesive marking tape is made from durable 6 mil PVC film coated with rubber based pressure sensitive adhesive on 1 side. Great solution for marking off potential hazardous areas like walls, steps, lift gates, low overhangs and more. The 76-0050 has excellent anti-abrasion properties, and is resistant to acid, alkalis and oils.</t>
  </si>
  <si>
    <t>Taiwan</t>
  </si>
  <si>
    <t>2 in. x 54 ft. Adhesive Marking Tape</t>
  </si>
  <si>
    <t>CTUCH-001-002</t>
  </si>
  <si>
    <t>Umpire Chair</t>
  </si>
  <si>
    <t>9401.79.</t>
  </si>
  <si>
    <t>CTVST-001-001</t>
  </si>
  <si>
    <t>Hi-Vis Vest, Various Sizes</t>
  </si>
  <si>
    <t>Check stock</t>
  </si>
  <si>
    <t>CTVST-001-002</t>
  </si>
  <si>
    <t>Hi-Vis Vest - Large</t>
  </si>
  <si>
    <t>Radians</t>
  </si>
  <si>
    <t>Class 2 safety vest with hook and loop closure and 2 in. silver reflective tape. Vest is made from high quality polyester mesh and durable enough to withstand up to 25 washes. Compliant protection at an economical price.</t>
  </si>
  <si>
    <t>Class 2 Large Green Mesh Safety Vest</t>
  </si>
  <si>
    <t>CTWND-001-001</t>
  </si>
  <si>
    <t>Traffic Safety Baton (2x Battery D)</t>
  </si>
  <si>
    <t>8530.80.</t>
  </si>
  <si>
    <t>CTWND-001-002</t>
  </si>
  <si>
    <t>Traffic Safety Baton, 16in (2x Battery C)</t>
  </si>
  <si>
    <t>Maximum Safety</t>
  </si>
  <si>
    <t>This 16-inch Safety Light Baton prioritizes traffic safety and visibility with its three different modes of light: red flashing, red steady, and off. Its four LED light sources ensure maximum brightness and clarity. The baton is powered by 2 Size C batteries (not included) for reliable performance. Additionally, it comes with a carrying strap and attachment clip for easy wear and accessibility. With its lightweight construction, this baton is effortless to handle, making it a versatile tool for various safety-related applications.</t>
  </si>
  <si>
    <t>FEAID-001-001</t>
  </si>
  <si>
    <t>First Aid Kit</t>
  </si>
  <si>
    <t>FEAID-001-002</t>
  </si>
  <si>
    <t>First Aid Kit - PLUMBFLEX</t>
  </si>
  <si>
    <t>Set</t>
  </si>
  <si>
    <t>PLUMBFLEX</t>
  </si>
  <si>
    <t>Ready to access First Aid kit was designed and packaged for 25 people for use in office, school or home. Grabbing the lightweight compact kit makes it easy to carry and is travel-friendly. A wall mounted plastic impact resistant emergency kit makes it easy to find and perform treatments without delays. Designed and developed to save time, an exclusive frustration free first aid kit accommodates all types of medical emergency. Opening the kit interior reveals quick access to emergency supplies that are organized and easy to find 145-pieces containing a large variety of bandages, dressings, medications, treatments and tools needed for unexpected medical emergency situations. Wall mountable bracket is included for hanging at convenient places for easy reach. Emergency kit content prepared under strict quality controlled environment. Recommended by healthcare professionals to keep first aid kit available at all times within reach. Meets federal OSHA requirements. Disclosure: products in the kit are subject to change depending on availability etc.</t>
  </si>
  <si>
    <t>145-Piece 25-Person OSHA Poly First Aid Kit</t>
  </si>
  <si>
    <t>FEAID-001-003</t>
  </si>
  <si>
    <t>First Aid Only Office Plastic First Aid Kit</t>
  </si>
  <si>
    <t>FEAID-001-004</t>
  </si>
  <si>
    <t>First Aid Kit - CANADA</t>
  </si>
  <si>
    <t>FACFACCSA2MP24</t>
  </si>
  <si>
    <t>FEAID-001-005</t>
  </si>
  <si>
    <t>First Aid Kit - MEXICO</t>
  </si>
  <si>
    <t>FEBIN-001-001</t>
  </si>
  <si>
    <t>Plastic Storage Box with Lid, Transparent</t>
  </si>
  <si>
    <t>3926.90.9985</t>
  </si>
  <si>
    <t>FEBIN-001-002</t>
  </si>
  <si>
    <t>Plastic Storage Box with Lid, Black</t>
  </si>
  <si>
    <t>FEBIN-001-003</t>
  </si>
  <si>
    <t>Plastic Storage Box - Yellow Lid</t>
  </si>
  <si>
    <t>HDX and Husky</t>
  </si>
  <si>
    <t>This heavy-duty HDX 17-Gallon Clear Tough Tote is designed to handle all your storage needs. The recessed lid enables you to stack multiple units effortlessly, while the tapered design facilitates easy nesting when you need to store them. A sturdy clear base crafted from high-grade resin allows for added visibility of stored items. A yellow snap lid ensures your items are safe and protected. Ideal for the thorough organizer seeking top-tier storage solutions, this tote features integrated slots for locking to deter unwanted access. Its unique tie-down channels also make it easy to secure for hassle-free transport and it's compatible with most hitch mounted cargo carriers. So that you can easily recognize what size your tote is, the gallon size is clearly visible on both the base and the lid. Embrace the essence of organized living with HDX Tough Totes.</t>
  </si>
  <si>
    <t>FEBIN-001-004</t>
  </si>
  <si>
    <t>IRIS Stack &amp; Pull 54 Qt. Latch Lid Storage Box</t>
  </si>
  <si>
    <t>FEBTR-001-002</t>
  </si>
  <si>
    <t>Duracell Coppertop 9V Alkaline Battery</t>
  </si>
  <si>
    <t>Pack</t>
  </si>
  <si>
    <t>FEBTR-002-001</t>
  </si>
  <si>
    <t>Battery AA - Duracell</t>
  </si>
  <si>
    <t>Duracell</t>
  </si>
  <si>
    <t>Duracell Coppertop AA alkaline batteries contain Duracell's exclusive POWER BOOST Ingredients, which deliver dependable, long-lasting power to your everyday devices throughout the home, like laser levels, stud finders, flashlights, toys, CO detectors, door locks, multimeters, smoke alarms and more. Our Duracell Coppertop AA alkaline batteries are guaranteed for 12 years in storage, so you can rest assured they will be ready when you need them. Duracell guarantees these batteries against defects in material and workmanship. From storm prep to holiday needs, Duracell is the # 1 trusted battery brand.</t>
  </si>
  <si>
    <t>FEBTR-002-002</t>
  </si>
  <si>
    <t>Duracell Coppertop AAA Alkaline Batteries</t>
  </si>
  <si>
    <t>FEBTR-002-003</t>
  </si>
  <si>
    <t>Battery AA - CANADA</t>
  </si>
  <si>
    <t>DUR5008918</t>
  </si>
  <si>
    <t>FEBTR-002-004</t>
  </si>
  <si>
    <t>Battery AA - MEXICO</t>
  </si>
  <si>
    <t>FEBTR-003-001</t>
  </si>
  <si>
    <t>Battery AAA - Duracell</t>
  </si>
  <si>
    <t>Duracell Coppertop AAA alkaline batteries contain Duracell's exclusive POWER BOOST Ingredients, which deliver dependable, long-lasting power to your everyday devices throughout the home, like laser levels, stud finders, flashlights, toys, CO detectors, door locks, multimeters, smoke alarms and more. Our Duracell Coppertop AA alkaline batteries are guaranteed for 12 years in storage, so you can rest assured they will be ready when you need them. Duracell guarantees these batteries against defects in material and workmanship. From storm prep to holiday needs, Duracell is the # 1 trusted battery brand.</t>
  </si>
  <si>
    <t>FEBTR-003-002</t>
  </si>
  <si>
    <t>Duracell Coppertop AA Alkaline Batteries</t>
  </si>
  <si>
    <t>FEBTR-003-003</t>
  </si>
  <si>
    <t>Battery AAA - CANADA</t>
  </si>
  <si>
    <t>DUR5001521</t>
  </si>
  <si>
    <t>FEBTR-003-004</t>
  </si>
  <si>
    <t>Battery AAA - MEXICO</t>
  </si>
  <si>
    <t>FEBTR-004-002</t>
  </si>
  <si>
    <t>Battery C - CANADA</t>
  </si>
  <si>
    <t>DUR5008429</t>
  </si>
  <si>
    <t>FEBTR-004-003</t>
  </si>
  <si>
    <t>Battery C - MEXICO</t>
  </si>
  <si>
    <t>FEBTR-005-001</t>
  </si>
  <si>
    <t>Battery C - Energizer</t>
  </si>
  <si>
    <t>Energizer</t>
  </si>
  <si>
    <t>You can rely on your devices when you rely on the power of Energizer MAX Alkaline C Batteries. Made to last, not to leak, these Energizer batteries deliver long lasting power for your everyday devices. Energizer C batteries fuel the technology that helps you work and play, whether you need batteries for flashlights and children's toys or backup batteries for radios and other electronics. With a shelf life up to 10 years in storage, these C cell batteries are there when you need them. Trust the power of Energizer MAX C Batteries to keep the devices you love powered when you need them most.</t>
  </si>
  <si>
    <t>FEBTR-005-002</t>
  </si>
  <si>
    <t>Duracell Coppertop D Alkaline Batteries</t>
  </si>
  <si>
    <t>FEBTR-005-003</t>
  </si>
  <si>
    <t>XXXX</t>
  </si>
  <si>
    <t>FEBTR-005-004</t>
  </si>
  <si>
    <t>FEBTR-005-005</t>
  </si>
  <si>
    <t>Battery D - CANADA</t>
  </si>
  <si>
    <t>FEBTR-005-006</t>
  </si>
  <si>
    <t>Battery D - MEXICO</t>
  </si>
  <si>
    <t>FEBTR-005-007</t>
  </si>
  <si>
    <t>Battery D - USA</t>
  </si>
  <si>
    <t>FECLS-001-001</t>
  </si>
  <si>
    <t>Wet Wipes</t>
  </si>
  <si>
    <t>Clorox</t>
  </si>
  <si>
    <t>Clean feels good when you clean with Clorox Disinfecting Cleaning Wipes, now with new sparkling scents for daily use. These wipes deliver an effective clean and sparkling scent with every wipe. Safe to use on over 100 surfaces, including finished wood, sealed granite, glass and stainless steel, the Clorox Disinfecting Wipes you know and trust are ideal for the kitchen, bathroom, and high touch areas. Enjoy a Fresh Scent while these bleach free wipes fight odor causing bacteria for up to 48 hours on non food contact surfaces, when used as directed. Tackle messes effortlessly with Clorox Disinfecting Wipes that clean 3X better than a wet paper towel, allowing you to clean more with just one wipe (1). Clorox Disinfecting Wipes kill 99.9% of germs, including Pseudomonas aeruginosa, Salmonella enterica and Staphylococcus aureus when used as directed on hard, nonporous surfaces. (1) Vs. a wet paper towel against egg, toothpaste and dirt. (2) On non food contact surfaces, when used as directed.</t>
  </si>
  <si>
    <t>FECLS-001-002</t>
  </si>
  <si>
    <t>Perk™ Disinfecting Wipes, Lemon Scent, 75 Wipes/Pack</t>
  </si>
  <si>
    <t>FECLS-001-003</t>
  </si>
  <si>
    <t>Wet Wipes - CANADA</t>
  </si>
  <si>
    <t>CXS1169</t>
  </si>
  <si>
    <t>FECLS-001-004</t>
  </si>
  <si>
    <t>Wet Wipes - MEXICO</t>
  </si>
  <si>
    <t>FEEXT-001-001</t>
  </si>
  <si>
    <t>Surge Protector with USB, 10ft</t>
  </si>
  <si>
    <t>8536.69.</t>
  </si>
  <si>
    <t>FEEXT-001-002</t>
  </si>
  <si>
    <t>Surge Protector with USB, 12ft, Black</t>
  </si>
  <si>
    <t>Commercial Electric</t>
  </si>
  <si>
    <t>The Commercial Electric 12 ft. 8-Outlet Surge Protector Braided Cord with 1 USB-A and 2 USB-C, Black provides reliable surge protection for your multiple electric devices. It offers 12 ft. braided cord for long distance reach. This surge protector provides protection from power surges, spikes and AC contamination.</t>
  </si>
  <si>
    <t>FEEXT-001-003</t>
  </si>
  <si>
    <t>NXTNX54315</t>
  </si>
  <si>
    <t>FEEXT-001-004</t>
  </si>
  <si>
    <t>Uncaged Ergonomics Cube 5-Outlet 4-USB Port Surge Protector, 10', White</t>
  </si>
  <si>
    <t>FEFTC-003-001</t>
  </si>
  <si>
    <t>Table Cover, Standard (4ft)</t>
  </si>
  <si>
    <t>FEFTC-004-001</t>
  </si>
  <si>
    <t>Table Cover, Large (6ft)</t>
  </si>
  <si>
    <t>ICE16521</t>
  </si>
  <si>
    <t>FEGLV-001-001</t>
  </si>
  <si>
    <t>Warehouse Gloves - Grease Monkey (pack of 10)</t>
  </si>
  <si>
    <t>Grease Monkey Pro Cleaning</t>
  </si>
  <si>
    <t>Nitrile coated gloves offer superior performance in a variety of applications and across a broad range of industries. They are lightweight, offer great dexterity and fit snug like a second skin. The nitrile coating on the palms and fingers delivers enhanced dry gripping power and control while creating a barrier of protection against liquids, epoxies, adhesives, greases and oils. The back-of-hand knit construction is designed to be breathable for all day wear, and the snug fit means you will have natural movement, great dexterity and experience less hand fatigue. These reusable gloves are safe for people with latex allergies.</t>
  </si>
  <si>
    <t>FEGLV-001-002</t>
  </si>
  <si>
    <t>PIP PVC Coating Cotton/Polyester Gloves</t>
  </si>
  <si>
    <t>FEHNG-001-001</t>
  </si>
  <si>
    <t>Clothes Hanger, White</t>
  </si>
  <si>
    <t>FEHNG-001-002</t>
  </si>
  <si>
    <t>Clothes Hanger - White</t>
  </si>
  <si>
    <t>Elama</t>
  </si>
  <si>
    <t>Organize your closet with ease. The Elama 50 pack plastic hanger set is made with a super slim lightweight design to help you maximize your closet space while making it tidy and organized! Constructed with durable and sturdy plastic material, these hangers will withstand the weight of heavier clothes like coats, shirts, sweaters and all your winter clothes. Multi-functional design features easy to use hang tabs for thinner strapped garments or wide necked items that are more difficult to hang. Save more space by pairing up items with the bottom pole that provides a space to hang pants, slacks, jeans and more. Thicker corners add strength and durability to these hangers when using on heavier items. Smooth finish ensures no rough or sharp edges, so you never have to worry about unwanted creases or marks on your clothes.</t>
  </si>
  <si>
    <t>FEICL-001-001</t>
  </si>
  <si>
    <t>Ice Cooler</t>
  </si>
  <si>
    <t>Igloo</t>
  </si>
  <si>
    <t>ULINE</t>
  </si>
  <si>
    <t>FEICL-001-002</t>
  </si>
  <si>
    <t>Ice Cooler - Igloo 60 qt.</t>
  </si>
  <si>
    <t>What's next on your adventure list. Will you be heading to the beach, park or campsite? Keeping drinks and food chilled for your outdoor adventures is one thing, but carrying it all to your destination is another. Good thing the large Igloo Cool 60-Quart Roller Cooler makes it super easy.Once you pack this spacious cooler with some ice and everyone's favorite refreshments, the eco-friendly THERMECOOL insulation will keep everything cold for full enjoyment later on. And hauling everything to your location can be enjoyable too, thanks to the sturdy side handles and wheels with a locking, telescoping handle that makes it easy to roll the cooler right along with you, whether you're pushing or pulling. Plus, the Igloo Cool Riser Technology makes sure your cooler is elevated off any warm or hot surfaces you set it down on so your contents stay cold. The spacious interior fits up to 90 cans, and whenever you reach in for a cold one, you can use one of the four built-in, self-draining cup holders to keep your drink within drink while you hang out. And once you get back home, the drain plug will make draining melted ice a cinch. With the Igloo Latitude along for the ride, your adventure is bound to be the coolest.</t>
  </si>
  <si>
    <t>FEKBX-001-001</t>
  </si>
  <si>
    <t>Key Cabinet, Small, 48 Keys</t>
  </si>
  <si>
    <t>8303.00.</t>
  </si>
  <si>
    <t>FEKBX-001-002</t>
  </si>
  <si>
    <t>Key Cabinet, Small - BARSKA</t>
  </si>
  <si>
    <t>Barska</t>
  </si>
  <si>
    <t>48 Position Key Safe by BARSKA features a hook-style cabinet that makes key organization easy. Heavy duty all steel construction to withstand everyday abuse. 2 pre-drilled holes and mounting hardware for easy wall mounting. Includes two keys, numbered stickers to keep keys in order, 48 colored key tags that feature label windows for easy viewing, mounting hardware and screws.</t>
  </si>
  <si>
    <t>FEKBX-001-003</t>
  </si>
  <si>
    <t>AbilityOne 7125011515435 SKILCRAFT Locking Key Cabinet</t>
  </si>
  <si>
    <t>NSN1515435</t>
  </si>
  <si>
    <t>FEKBX-002-001</t>
  </si>
  <si>
    <t>Key Cabinet, Large, BARSKA 100-Key (Black)</t>
  </si>
  <si>
    <t>The 100-Position Key Lock Box from BARSKA (Black) features a hook-style cabinet that makes key organization easy and convenient. Inside the cabinet are 5 rows of color-coded and numbered hooks, each of which is easy to access and keep track of thanks to the included key index. The 2-sided indexing chart has ample room to document the keys hook position corresponding lock, and a drop-in plastic sleeve tethered to the hinge inside the safe provides a hands-free reference. The safe has 4 pre-drilled mounting holes and included hardware for installation. Ideal for home, office, apartment complexes, rental management companies, car lots, body shops, and many more. Backed by 1-year Limited Warranty.</t>
  </si>
  <si>
    <t>FEKBX-002-002</t>
  </si>
  <si>
    <t>Barska 160 Key Cabinet</t>
  </si>
  <si>
    <t>FEKBX-003-001</t>
  </si>
  <si>
    <t>Keytag, Pack of 50</t>
  </si>
  <si>
    <t>FEKBX-003-002</t>
  </si>
  <si>
    <t>Split Rings, Pack of 50 (Avery)</t>
  </si>
  <si>
    <t>Mexico</t>
  </si>
  <si>
    <t>FEKBX-003-003</t>
  </si>
  <si>
    <t>Marking Tags, Pack of 1000 (Avery)</t>
  </si>
  <si>
    <t>FEKBX-003-004</t>
  </si>
  <si>
    <t>Keytag , 50 PCS / PACK- BARSKA</t>
  </si>
  <si>
    <t>Identify important keys quickly and easily with the 50-Pack of Assorted Key Tags from BARSKA. These key tags are color-coded and feature a write-on label. BARSKA Key Tags have a large window insert to clearly identify the keys and the color-coded tags make finding the key that you are looking for fast and easy. Simply attach your key to the key tags and identify the key on the paper insert. These 50-Key Tags from BARSKA work as replacement key tags for most BARSKA Multi-Key Lock Boxes.</t>
  </si>
  <si>
    <t>FEKBX-003-005</t>
  </si>
  <si>
    <t>Avery Split Ring Key Tags</t>
  </si>
  <si>
    <t>FELCK-001-001</t>
  </si>
  <si>
    <t>Padlock, Long Shackle</t>
  </si>
  <si>
    <t>8301.20.0090</t>
  </si>
  <si>
    <t>FELCK-001-002</t>
  </si>
  <si>
    <t>Padlock, Master Lock, Silver 2.5 in Shackle</t>
  </si>
  <si>
    <t>Master Lock</t>
  </si>
  <si>
    <t>The Master Lock M5XKADLJCCSEN Heavy-Duty Outdoor Padlock with Key features a 2 in. (51 mm) wide laminated steel body for maximum strength and reliability and is surrounded by stainless steel and zinc outer components for weather resistance. Octagonal lock shackle is 3/8 in. (10 mm) wide in diameter and is 2-1/2 in. (64 mm) long and made of Tough-Cut boron-carbide, 50% harder than hardened steel, offering maximum resistance from cutting and sawing. Lock 4-pin cylinder prevents picking and the dual locking ball bearings provide maximum resistance against prying and hammering. Master Lock's Lifetime Guarantee provides peace of mind from a brand you can trust.</t>
  </si>
  <si>
    <t>FELCK-002-001</t>
  </si>
  <si>
    <t>Cable Lock</t>
  </si>
  <si>
    <t>8301.10.6000</t>
  </si>
  <si>
    <t>FELCK-002-002</t>
  </si>
  <si>
    <t>Cable Lock - Master Lock</t>
  </si>
  <si>
    <t>8301.10.60</t>
  </si>
  <si>
    <t>FELCK-003-001</t>
  </si>
  <si>
    <t>Locker Padlock, Combination (dial)</t>
  </si>
  <si>
    <t>8301.10.</t>
  </si>
  <si>
    <t>FELCK-003-002</t>
  </si>
  <si>
    <t>Locker Padlock, Combination (4-digit)</t>
  </si>
  <si>
    <t>FELCK-003-003</t>
  </si>
  <si>
    <t>Locker Padlock, Combination - GENERIC</t>
  </si>
  <si>
    <t>F&amp;E</t>
  </si>
  <si>
    <t>FELCK-003A-001</t>
  </si>
  <si>
    <t>Locker Padlock, Keyed</t>
  </si>
  <si>
    <t>FELCK-003A-002</t>
  </si>
  <si>
    <t>Locker Padlock, Keyed, Master Lock (black)</t>
  </si>
  <si>
    <t>https://www.homedepot.com/p/Master-Lock-Lock-with-Key-1-9-16-in-Wide-1-1-2-in-Shackle-141DLFHC/100179504</t>
  </si>
  <si>
    <t>FELCK-003A-003</t>
  </si>
  <si>
    <t>Locker Padlock, Keyed, Master Lock (3KADLF)</t>
  </si>
  <si>
    <t>FELCK-003A-004</t>
  </si>
  <si>
    <t>Locker Padlock, Keyed, Master Lock, Set of 2, Steel</t>
  </si>
  <si>
    <t>FELCK-003A-005</t>
  </si>
  <si>
    <t>Locker Padlock, Keyed, Master Lock (8596D)</t>
  </si>
  <si>
    <t>FELCK-003A-006</t>
  </si>
  <si>
    <t>Locker Padlock, Keyed, Master Lock, Set of 2, Black</t>
  </si>
  <si>
    <t>FELCK-003A-007</t>
  </si>
  <si>
    <t>Locker Padlock, Keyed, Lockers.com</t>
  </si>
  <si>
    <t>FELCK-003A-008</t>
  </si>
  <si>
    <t>Locker Padlock, Keyed, Master lock (3KADLD)</t>
  </si>
  <si>
    <t>FELCK-003A-009</t>
  </si>
  <si>
    <t>HOLD - Locker Padlock, Keyed - GENERIC</t>
  </si>
  <si>
    <t>8301.40.90</t>
  </si>
  <si>
    <t>FELCK-004-001</t>
  </si>
  <si>
    <t>Locker Padlock, Combination, Control Key</t>
  </si>
  <si>
    <t>FELCK-004-002</t>
  </si>
  <si>
    <t>Locker Padlock Control Key - GENERIC</t>
  </si>
  <si>
    <t>FELDR-002-001</t>
  </si>
  <si>
    <t>Five-Step Ladder (Aluminum)</t>
  </si>
  <si>
    <t>7616.99.</t>
  </si>
  <si>
    <t>FELDR-002-002</t>
  </si>
  <si>
    <t>Five-Step Ladder - Werner</t>
  </si>
  <si>
    <t>Werner</t>
  </si>
  <si>
    <t>Work smarter with Werner's 6 ft. Aluminum Step Ladder, designed for convenience and reliability. With a 250 lb. duty rating, it features the exclusive Tool-Tra-Top, offering space for tools, a paint can and slots for a roller tray. The molded paint can hanger on the back adds extra convenience, while the Spill-Proof pail shelf opens and closes effortlessly. Stay steady and secure with slip-resistant Traction-Tred steps, making this ladder a practical and safe choice for any project around the home or jobsite.</t>
  </si>
  <si>
    <t>FEMEQ-001-001</t>
  </si>
  <si>
    <t>Measuring Tape - Stanley</t>
  </si>
  <si>
    <t>Stanley</t>
  </si>
  <si>
    <t>This tape measure's case is made from quality high impact ABS. The blades durability is a result of a polymer coating. Stud markings are visible at 16 in. and 19.2 in.</t>
  </si>
  <si>
    <t>Thailand</t>
  </si>
  <si>
    <t>FEMEQ-002-001</t>
  </si>
  <si>
    <t>Measuring Wheel - Crescent</t>
  </si>
  <si>
    <t>Crescent</t>
  </si>
  <si>
    <t>The Crescent 12" Measuring Wheel features a handle-mounted counter providing clear visibility of the measurement and accessibility to the reset button. Its centerline design and pistol grip handle provide balance and comfort while measuring long distances. The folding kickstand holds the wheel upright when hands need to be free for other tasks. Additionally, the measuring wheel folds to a compact size for storage.</t>
  </si>
  <si>
    <t>Crescent 12 in. SAE Measuring Wheel</t>
  </si>
  <si>
    <t>FEMHE-001-001</t>
  </si>
  <si>
    <t>Pallet Truck</t>
  </si>
  <si>
    <t>FEMHE-001-002</t>
  </si>
  <si>
    <t>Pallet Truck, Eoslift (Blue)</t>
  </si>
  <si>
    <t>Eoslift</t>
  </si>
  <si>
    <t>Eoslift USA Superior (Professional Grade) pallet jack is constructed with German engineered reinforced steel structure, and craftsmanship through precise Robotic welding. Including new German Seal System, 5500 lbs. weight capacity., Fork-27 in. x 48 in., Polyurethane Wheels, Steel Hubs, Padded Handles, 7.5 in. Raise Height. One-piece galvanized steel pump. Also includes a replaceable check valve with an overweight bearing system to protect the frame. 3-Years Limited Warranty.</t>
  </si>
  <si>
    <t>Assemble @ FIFA WHS</t>
  </si>
  <si>
    <t>FEMHE-003-001</t>
  </si>
  <si>
    <t>Platform Truck, Large (30x60)</t>
  </si>
  <si>
    <t>FEMHE-003-002</t>
  </si>
  <si>
    <t>Platform Truck, Large (Magliner)</t>
  </si>
  <si>
    <t>Magliner</t>
  </si>
  <si>
    <t>Magliner's heavy-duty light weight aluminum platform truck is designed for tough service. Reinforced box-frame construction for strength and durability. 2,800 lb. load capacity deck and frame rides on two swivel and two fixed 8 in. thermoplastic rubber wheels, maximizing productivity. This model has a 30 in. x 60 in. aluminum tread deck and comes with one removable aluminum handle that can be placed on either end of the platform.</t>
  </si>
  <si>
    <t>FEMHE-004-001</t>
  </si>
  <si>
    <t>Hand Truck</t>
  </si>
  <si>
    <t>8716.80.</t>
  </si>
  <si>
    <t>FEMHE-004-002</t>
  </si>
  <si>
    <t>Hand Truck, Gorilla (Yellow)</t>
  </si>
  <si>
    <t>Gorilla</t>
  </si>
  <si>
    <t>GORILLA is setting THE NEW STANDARD in hand trucks with unmatched strength, rigidity, and lightweight performance. This all-new 1,000-lb. Convertible Aluminum Hand Truck is engineered stronger and lighter with upgraded and innovative features that PROs prefer to help you get the job done, plus it easily converts from a 2-wheel hand truck to a 4-wheel platform cart for maximum versatility. It all starts with lightweight yet strong and durable aluminum construction and rugged components for incredible durability. The GORILLA hand truck features Wide Load Toe-Plate Technology for superior load stability. The Super-Duty Axle and tires (with sealed bearings and rust-resistant bushings) ensure you're always rolling smoothly over any surface, and the axle is replaceable for long-lasting use. Integrated wheel guards and stainless-steel hardware add to the overall durability of the hand truck and the security of your load. When it's time to switch between positions, the Precision Locking System allows for simple and safe conversion, plus heavy-duty casters for great stability and ground clearance. Additional innovations include Multi-Grip Power Handles for one-hand or two-hand maneuverability, protective rail pads, and additional strap anchor points for tying down whatever you're carrying. This 1,000-lb. capacity Convertible Aluminum Hand Truck is lightweight, heavy-duty, and designed for versatility to get all your jobs done safely, quickly, and easily.</t>
  </si>
  <si>
    <t>FEMHE-005-001</t>
  </si>
  <si>
    <t>Furniture Dolly</t>
  </si>
  <si>
    <t>FEMHE-005-002</t>
  </si>
  <si>
    <t>Furniture Dolly - Anvil</t>
  </si>
  <si>
    <t>Anvil</t>
  </si>
  <si>
    <t>Save your back and time when moving bulky home furnishings and other large items yourself. This Tool have 800 lbs. Capacity Furniture Dolly Set will help you get the couch, recliner, and other furniture from the back of your truck into your home with ease.</t>
  </si>
  <si>
    <t>FEROP-001-001</t>
  </si>
  <si>
    <t>Rope, Sisal - Do Not Allocate</t>
  </si>
  <si>
    <t>FEROP-001-002</t>
  </si>
  <si>
    <t>Rope, Twisted Nylon Rope Coilette</t>
  </si>
  <si>
    <t>T.W. Evans Cordage</t>
  </si>
  <si>
    <t>Our 3 Strand Twisted Nylon Rope is a great all-purpose rope. Nylon is a strong, durable, UV resistant, rot and mildew resistant fiber. Nylon rope absorbs shock which makes it great for dock lines and anchor lines.</t>
  </si>
  <si>
    <t>India</t>
  </si>
  <si>
    <t>FERPN-001-001</t>
  </si>
  <si>
    <t>Disposable Rain Poncho</t>
  </si>
  <si>
    <t>FERPN-001-002</t>
  </si>
  <si>
    <t>Disposable Rain Poncho - GENERIC</t>
  </si>
  <si>
    <t>3926.20.6000</t>
  </si>
  <si>
    <t>FERPN-001-003</t>
  </si>
  <si>
    <t>Disposable Rain Poncho - ULINE</t>
  </si>
  <si>
    <t>S-15898C</t>
  </si>
  <si>
    <t>FESPL-001-001</t>
  </si>
  <si>
    <t>Spill Kit, 5 Gallon</t>
  </si>
  <si>
    <t>FESPL-001-002</t>
  </si>
  <si>
    <t>Spill Kit - GENERIC</t>
  </si>
  <si>
    <t>AWF Pro</t>
  </si>
  <si>
    <t>The AWF Pro 20 Gallon spill kit comes in a UN rated DOT approved container to keep all your spill response products in one place. The Gray Universal Sorbents can soak up common chemicals that includes oils, water, glycols, etc. and some acids and caustic solutions. The mix of sorbent pads, socks and pillows give you the tools to reduce contamination When deployed the AWF Pro spill kit will help clean spills and prevents unwanted liquids from spreading into drains, walkways or unpaved area's.</t>
  </si>
  <si>
    <t>FETIE-001-001</t>
  </si>
  <si>
    <t>Cable Tie, Pack of 500</t>
  </si>
  <si>
    <t>FETIE-001-002</t>
  </si>
  <si>
    <t>Cable Tie - Generic</t>
  </si>
  <si>
    <t>Ahfiwaso</t>
  </si>
  <si>
    <t>These 12 in. black zip ties are the perfect solution for organizing, securing, and fastening a variety of items. Made from industrial-strength nylon 66, they are UV-resistant, weatherproof, and durable, making them suitable for both indoor and outdoor use, even in direct sunlight. Each pack includes 1200 ties, providing ample supply for daily tasks and projects. With a tensile strength of 70lbs. these ties are built to handle heavy-duty applications. The 0.19 in. width and 0.057 in. thickness exceed industry standards, ensuring a strong and reliable hold for demanding tasks. The self-locking design offers a secure fastening mechanism that prevents loosening while being easy to handle and install. These versatile cable ties are ideal for various applications, such as managing cables and cords, organizing spaces, securing bike or car accessories, or completing gardening tasks. They are perfect for hanging lights, attaching banners, and keeping your home, garage, or office neat and tidy. Each tie supports a maximum bundle diameter of 3.25 in., making them suitable for a wide range of uses. Designed for sturdiness and convenience, these ties are an essential tool for both professionals and DIY enthusiasts. Durable, reliable, and versatile, they are a must-have for any organization or fastening project.</t>
  </si>
  <si>
    <t>FETIE-001-003</t>
  </si>
  <si>
    <t>11.8 in. Ultra Heavy-Duty Multi-Purpose UV Cable Ties, 250 lbs. Tensile Strength (50-Pack)</t>
  </si>
  <si>
    <t>TR Industrial</t>
  </si>
  <si>
    <t>FETLS-002-001</t>
  </si>
  <si>
    <t>Bolt Cutter</t>
  </si>
  <si>
    <t>8203.40.</t>
  </si>
  <si>
    <t>FETLS-002-002</t>
  </si>
  <si>
    <t>Bolt Cutter - GENERIC</t>
  </si>
  <si>
    <t>Klein Tools</t>
  </si>
  <si>
    <t>All-purpose, center-cut jaws for soft, medium, and hard metals. Forged, alloy tool steel jaws are precision ground for sure, efficient cutting and long life. The red steel handles have heavy vinyl grips with flat grips ends for 90-degree cuts.</t>
  </si>
  <si>
    <t>FETLS-003-001</t>
  </si>
  <si>
    <t>Cordless Drill Set (Milwaukee M18)</t>
  </si>
  <si>
    <t>8467.21.0010</t>
  </si>
  <si>
    <t>Vietnam</t>
  </si>
  <si>
    <t>FETLS-003-002</t>
  </si>
  <si>
    <t>Cordless Drill - Milwaukee M18</t>
  </si>
  <si>
    <t>Milwaukee</t>
  </si>
  <si>
    <t>The MILWAUKEE® M18™ ½” Compact Brushless Drill/Driver is more compact with faster speed in application. The compact drill is 5.7” in length and lightweight at 3.2 lbs with battery allowing for excellent control, especially while working in overhead or tight spaces. The brushless motor was built to ensure optimal tool performance delivering 550 in-lbs of torque and 0-1,700 RPM, which makes this cordless drill able to tackle a wide range of drilling and fastening applications. REDLINK™ Intelligence paired with MILWAUKEE® REDLITHIUM™ M18™ batteries ensures efficient power delivery resulting in less down time recharging batteries. The compact cordless drill has premium components with an all-metal gear case and ½” metal chuck providing durability that professionals require. The Milwaukee® drill kit comes with the Drill/Driver, (2) MILWAUKEE® M18™ REDLITHIUM™ CP2.0 Compact Batteries, (1) MILWAUKEE® M18™/M12™ Multi-Voltage Charger and (1) Contractor Bag. The Compact Brushless ½” Drill/Driver is part of MILWAUKEE® M18™ system, fully compatible with over 250+ solutions.</t>
  </si>
  <si>
    <t>FETLS-003-003</t>
  </si>
  <si>
    <t>Cordless Drill - CANADA</t>
  </si>
  <si>
    <t>OS</t>
  </si>
  <si>
    <t>FETLS-003-004</t>
  </si>
  <si>
    <t>Cordless Drill - MEXICO</t>
  </si>
  <si>
    <t>FETLS-003-005</t>
  </si>
  <si>
    <t>Kit de Taladro y Atornillador Inalámbricos</t>
  </si>
  <si>
    <t>FETLS-006-001</t>
  </si>
  <si>
    <t>Driver Bit Set (Milwaukee SHOCKWAVE 32)</t>
  </si>
  <si>
    <t>8207.90.8080</t>
  </si>
  <si>
    <t>FETLS-006-002</t>
  </si>
  <si>
    <t>Driver Bit Set - 45 piece Milwaukee</t>
  </si>
  <si>
    <t>The MILWAUKEE® SHOCKWAVE™ Impact Duty 45PC Driver Bit Set provides the Ultimate Fit for a superior driving experience. The optimized SHOCKZONE™ shanks are customized for each tip type to absorb peak torque and prevent breakage. The long-lasting Wear Guard™ Tip provides increased wear resistance, protecting the fit over the life of the bit. The customized tip geometry leads to less stripping of screws on the job site. The set is organized in a customizable accessory case designed to fit in PACKOUT™ Organizers.</t>
  </si>
  <si>
    <t>FETLS-006-003</t>
  </si>
  <si>
    <t>Set de Puntas</t>
  </si>
  <si>
    <t>FETLS-023-001</t>
  </si>
  <si>
    <t>Toolset (Crescent 180)</t>
  </si>
  <si>
    <t>8206.00.0000</t>
  </si>
  <si>
    <t>FETLS-023-002</t>
  </si>
  <si>
    <t>Toolset - GENERIC</t>
  </si>
  <si>
    <t>FETLS-023-003</t>
  </si>
  <si>
    <t>Juego de Herramientas de 180 Piezas para el Taller</t>
  </si>
  <si>
    <t>FETLS-025-002</t>
  </si>
  <si>
    <t>Gas Can - GENERIC</t>
  </si>
  <si>
    <t>Garage Boss</t>
  </si>
  <si>
    <t>Garage Boss Press 'N Pour 5 Gal. Fuel Filling System is the perfect solution to keep your medium to large size gas powered equipment running year round. Whether it be your ride-on mower, ATV, snowmobile or motorized watercraft, the ergonomically friendly design makes fueling your equipment easy and clean. The EPA and CARB compliant spout and container includes a child safe cap and prevents fumes from escaping, as well as unnecessary spills. Along with the new easy to use Press N Pour spout, is the newly added Flame Mitigation Device (FMD).</t>
  </si>
  <si>
    <t>FETLS-026-001</t>
  </si>
  <si>
    <t>Gas Funnel - GENERIC</t>
  </si>
  <si>
    <t>3923.10.00.00</t>
  </si>
  <si>
    <t>FEWHQ-001-001</t>
  </si>
  <si>
    <t>Stretch Wrap S-2190</t>
  </si>
  <si>
    <t>FEWHQ-001-002</t>
  </si>
  <si>
    <t>Stretch Wrap S-2900 COLOR</t>
  </si>
  <si>
    <t>Canada</t>
  </si>
  <si>
    <t>FEWHQ-001-003</t>
  </si>
  <si>
    <t>Stretch Wrap, Pro-Series</t>
  </si>
  <si>
    <t>Pro-Series</t>
  </si>
  <si>
    <t>Wrap pallets, furniture and more with the Buffalo Pallet Roll Stretch Wrap. Great for warehouses to wrap pallets and movers to wrap furniture to keep the load together and shield it from damage. The 80 gauge plastic has a lot of stretch to really hold the load protected. Roll measures 18 in. wide by 1500 ft. long.</t>
  </si>
  <si>
    <t>FEWHQ-001-004</t>
  </si>
  <si>
    <t>Uline Stretch Wrap - Cast, 80 gauge, 18" x 1,500'</t>
  </si>
  <si>
    <t>S-2190</t>
  </si>
  <si>
    <t>FEWHQ-001-005</t>
  </si>
  <si>
    <t>18" x 1500' 80 Gauge Cast Stretch Wrap</t>
  </si>
  <si>
    <t>FEWHQ-002-001</t>
  </si>
  <si>
    <t>Dispenser Stretch Wrap, Vestil 19" x 10"</t>
  </si>
  <si>
    <t>Vestil</t>
  </si>
  <si>
    <t>The Hand Held Stretch Wrapper is a lightweight, freewheeling dispenser that maintains precision tension. Control that insures a tight, smooth application. The ergonomically bent, foam covered handle reduces both bending and fatigue, while allowing operators to apply the bottom row of wrap just as tight as the top.</t>
  </si>
  <si>
    <t>FEWHQ-002-002</t>
  </si>
  <si>
    <t>Deluxe Hand-Saver Stretch Film Dispenser</t>
  </si>
  <si>
    <t>H-1588</t>
  </si>
  <si>
    <t>FEWHQ-003-001</t>
  </si>
  <si>
    <t>Dispenser Packing Tape (Tape Gun)</t>
  </si>
  <si>
    <t>Italy</t>
  </si>
  <si>
    <t>FEWHQ-003-002</t>
  </si>
  <si>
    <t>Dispenser Packaging Tape - GENERIC</t>
  </si>
  <si>
    <t>Scotch</t>
  </si>
  <si>
    <t>Make sealing your boxes easier and more efficient with the Scotch Brand Heavy Duty Foam Grip Tape Dispenser. Designed for ease of use, this dispenser has a comfortable cushioned foam grip and an adjustable tension knob that you can dial in for your optimal ease of use and control. It's a great choice for frequent shippers that need more comfort and want to fight fatigue when packing up multiple boxes. Perfect for around the shipping station, mailroom, home or office, you can depend on this packaging tape dispenser for all your packing, shipping and moving needs. Comes with one roll of Scotch(R) Heavy Duty Packaging Tape included.</t>
  </si>
  <si>
    <t>FEWHQ-004-001</t>
  </si>
  <si>
    <t>Pallet Strapping</t>
  </si>
  <si>
    <t>FEWHQ-004-002</t>
  </si>
  <si>
    <t>Pallet Strapping - GENERIC</t>
  </si>
  <si>
    <t>FEWHQ-004-003</t>
  </si>
  <si>
    <t>Uline Poly Strapping - 5⁄8" x .025" x 6,000', Black</t>
  </si>
  <si>
    <t>S-163</t>
  </si>
  <si>
    <t>3919.10.20</t>
  </si>
  <si>
    <t>FEWHQ-005-001</t>
  </si>
  <si>
    <t>Metal Seals for Strapping, Pack of 500</t>
  </si>
  <si>
    <t>FEWHQ-005-002</t>
  </si>
  <si>
    <t>Metal Seals for Strapping - GENERIC</t>
  </si>
  <si>
    <t>FEWHQ-005-003</t>
  </si>
  <si>
    <t>Polyester Strapping Seals - Gripper</t>
  </si>
  <si>
    <t>S-2158</t>
  </si>
  <si>
    <t>7317.00.55.35</t>
  </si>
  <si>
    <t>FEWHQ-006-001</t>
  </si>
  <si>
    <t>Strapping Sealer</t>
  </si>
  <si>
    <t>FEWHQ-006-002</t>
  </si>
  <si>
    <t>Strapping Sealer - GENERIC</t>
  </si>
  <si>
    <t>FEWHQ-006-003</t>
  </si>
  <si>
    <t>Polyester Strapping Sealers</t>
  </si>
  <si>
    <t>H-703</t>
  </si>
  <si>
    <t>FEWHQ-007-001</t>
  </si>
  <si>
    <t>Strapping Tensioner</t>
  </si>
  <si>
    <t>FEWHQ-007-002</t>
  </si>
  <si>
    <t>Strapping Tensioner - GENERIC</t>
  </si>
  <si>
    <t>FEWHQ-007-003</t>
  </si>
  <si>
    <t>Uline Polyester Strapping Tensioners</t>
  </si>
  <si>
    <t>H-572</t>
  </si>
  <si>
    <t>FEWHQ-008-001</t>
  </si>
  <si>
    <t>Strapping Cutter</t>
  </si>
  <si>
    <t>FEWHQ-008-002</t>
  </si>
  <si>
    <t>Strapping Cutter - GENERIC</t>
  </si>
  <si>
    <t>FEWHQ-008-003</t>
  </si>
  <si>
    <t>Industrial Steel Strapping Cutter</t>
  </si>
  <si>
    <t>H-41</t>
  </si>
  <si>
    <t>FEWHQ-009-001</t>
  </si>
  <si>
    <t>Strapping Cart, Empty</t>
  </si>
  <si>
    <t>FEWHQ-009-002</t>
  </si>
  <si>
    <t>Strapping Cart - GENERIC</t>
  </si>
  <si>
    <t>FEWHQ-009-003</t>
  </si>
  <si>
    <t>Industrial Strapping Cart</t>
  </si>
  <si>
    <t>H-39</t>
  </si>
  <si>
    <t>FEWHQ-010-001</t>
  </si>
  <si>
    <t>Empty Pallet - GENERIC</t>
  </si>
  <si>
    <t>FEWHQ-012-001</t>
  </si>
  <si>
    <t>Ratchet Strap</t>
  </si>
  <si>
    <t>5609.00.</t>
  </si>
  <si>
    <t>FEWHQ-012-002</t>
  </si>
  <si>
    <t>Ratchet Strap - Husky Heavy Duty</t>
  </si>
  <si>
    <t>Husky</t>
  </si>
  <si>
    <t>The easiest way to secure vehicles for transport by the axle. Thick, soft polyester 2 in. W yellow tie down webbing provides excellent durability and long service life and is gentle on valuable vehicles. 3333 lbs. working load for heavy-duty use. Polyester Webbing Resists Weather and is UV-protected.</t>
  </si>
  <si>
    <t>FEWHQ-015-001</t>
  </si>
  <si>
    <t>Bubble Roll</t>
  </si>
  <si>
    <t>FEWHQ-015-002</t>
  </si>
  <si>
    <t>Bubble Roll - Pratt Retail 2x90 ft</t>
  </si>
  <si>
    <t>Pratt Retail Specialties</t>
  </si>
  <si>
    <t>Pack and protect your fragile items with this 90 ft. bubble cushion. The bubble cushion provides better protection than loose fill or paper.</t>
  </si>
  <si>
    <t>FEWHQ-016-001</t>
  </si>
  <si>
    <t>Carton Box, Medium 18x16x14</t>
  </si>
  <si>
    <t>FEWHQ-016-002</t>
  </si>
  <si>
    <t>Carton Box, Medium - THD</t>
  </si>
  <si>
    <t>The Home Depot</t>
  </si>
  <si>
    <t>The Home Depot Heavy-Duty Medium Moving Box is great for long-term storage and for moving heavy, valuable, or fragile items. The double wall heavy-duty construction is perfect for storing items in non-climate controlled areas such as attics, basements, garages, and mini-storage warehouses. Ideal for tools, kitchen items, small appliances, and more. This box is crafted from 100% recycled material for an environmentally responsible moving and storage option.</t>
  </si>
  <si>
    <t>FEWHQ-016-003</t>
  </si>
  <si>
    <t>18 x 16 x 14" Corrugated Boxes</t>
  </si>
  <si>
    <t>S-4238</t>
  </si>
  <si>
    <t>FEWHQ-017-001</t>
  </si>
  <si>
    <t>Corrugated Pad</t>
  </si>
  <si>
    <t>FEWHQ-017-002</t>
  </si>
  <si>
    <t>Corrugated  Pad - GENERIC</t>
  </si>
  <si>
    <t>FEWHQ-017-003</t>
  </si>
  <si>
    <t>40 x 48" 200 lb Corrugated Pads</t>
  </si>
  <si>
    <t>S-3193</t>
  </si>
  <si>
    <t>FEWHQ-018-001</t>
  </si>
  <si>
    <t>Carton Box, Large 22x22x20</t>
  </si>
  <si>
    <t>FEWHQ-018-002</t>
  </si>
  <si>
    <t>Carton Box, Large - THD</t>
  </si>
  <si>
    <t>The Home Depot Extra-Large Moving Box is great for moving and storing lightweight and bulky items. Ideal for clothing, comforters, blankets, lamps, pillows, kitchen items, and more. This box is crafted from 100% recycled material for an environmentally responsible moving and storage option.</t>
  </si>
  <si>
    <t>FEWHQ-018-003</t>
  </si>
  <si>
    <t>22 x 22 x 20" Corrugated Boxes</t>
  </si>
  <si>
    <t>S-4826</t>
  </si>
  <si>
    <t>FGCPM-001-001</t>
  </si>
  <si>
    <t>Massage Table</t>
  </si>
  <si>
    <t>Functional goods</t>
  </si>
  <si>
    <t>FA</t>
  </si>
  <si>
    <t>1-300-0068_-_Rev_013025</t>
  </si>
  <si>
    <t>Luna</t>
  </si>
  <si>
    <t>FGCPM-001-002</t>
  </si>
  <si>
    <t>Massage Table Covers</t>
  </si>
  <si>
    <t>FGCPM-002-001</t>
  </si>
  <si>
    <t>Heat Press Machine</t>
  </si>
  <si>
    <t>Hotronix</t>
  </si>
  <si>
    <t>FGCPM-003-001</t>
  </si>
  <si>
    <t>Ice Bath</t>
  </si>
  <si>
    <t>VITAL+</t>
  </si>
  <si>
    <t>FGCPM-004-001</t>
  </si>
  <si>
    <t>Bench Cooler, FCWC25 branded</t>
  </si>
  <si>
    <t>previously FGF25-001</t>
  </si>
  <si>
    <t>FGCPM-004-002</t>
  </si>
  <si>
    <t>Medical Cooler, FCWC25 branded</t>
  </si>
  <si>
    <t>Previously FGF25-001-002</t>
  </si>
  <si>
    <t>FGCPM-004-003</t>
  </si>
  <si>
    <t>Squeeze Bottle, FCWC25 branded</t>
  </si>
  <si>
    <t>Previously FGF25-001-003</t>
  </si>
  <si>
    <t>FGEVM-001-001</t>
  </si>
  <si>
    <t>Road Case Moose (Black Box)</t>
  </si>
  <si>
    <t>Box</t>
  </si>
  <si>
    <t>FGEVM-001-002</t>
  </si>
  <si>
    <t>Road Case Eagle (Black Box)</t>
  </si>
  <si>
    <t>FGEVM-001-003</t>
  </si>
  <si>
    <t>Road Case Jaguar (Black Box)</t>
  </si>
  <si>
    <t>FGEVM-001-004</t>
  </si>
  <si>
    <t>Cardboard Box Moose</t>
  </si>
  <si>
    <t>FGEVM-001-005</t>
  </si>
  <si>
    <t>Cardboard Box Eagle</t>
  </si>
  <si>
    <t>FGEVM-001-006</t>
  </si>
  <si>
    <t>Cardboard Box Jaguar</t>
  </si>
  <si>
    <t>FGEVM-001-007</t>
  </si>
  <si>
    <t>Spare Parts for Mascots</t>
  </si>
  <si>
    <t>FGFAO-001-001</t>
  </si>
  <si>
    <t>Tablet Cover (Lenovo M11)</t>
  </si>
  <si>
    <t>FGMEO-003-001</t>
  </si>
  <si>
    <t>Media Backpacks- Final Draw</t>
  </si>
  <si>
    <t>FGPIT-001-001</t>
  </si>
  <si>
    <t>ProPitch Standard Kit</t>
  </si>
  <si>
    <t>Source Description: Including:
Clegg Hammer (2.25kg impactor)
Sprung Traction LWRR
ML3 Theta Probe
Pile Height Gauge
Soil Corer
Quadrat Net
Custom Foam Case
Pile Height Card
Mushroom Pegs
Mallet
Magnifying Glass
Spirit Level
Steel Ruler</t>
  </si>
  <si>
    <t>FGPRD-001-001</t>
  </si>
  <si>
    <t>FWC26 Official Match Ball OMB- Buffer WC Pro</t>
  </si>
  <si>
    <t>FGPRD-002-001</t>
  </si>
  <si>
    <t>FWC26 Official Match Ball OMB- Buffer WC Mini</t>
  </si>
  <si>
    <t>Pakistan</t>
  </si>
  <si>
    <t>FGPRD-003-001</t>
  </si>
  <si>
    <t>FCWC25 Ball</t>
  </si>
  <si>
    <t>FGPRD-004-001</t>
  </si>
  <si>
    <t>MLS Ball</t>
  </si>
  <si>
    <t>FGPRD-004-002</t>
  </si>
  <si>
    <t>FGSEC-001-001</t>
  </si>
  <si>
    <t>Security Cable</t>
  </si>
  <si>
    <t>FGTEC-001-001</t>
  </si>
  <si>
    <t>ACR- Small Printer</t>
  </si>
  <si>
    <t>Fiscard</t>
  </si>
  <si>
    <t>FGTEC-002-001</t>
  </si>
  <si>
    <t>ACR- Big Printer</t>
  </si>
  <si>
    <t>HCL/Zebra</t>
  </si>
  <si>
    <t>FGTEC-002-002</t>
  </si>
  <si>
    <t>ACR- Big Printer- Ribbon</t>
  </si>
  <si>
    <t>FGTEC-002-003</t>
  </si>
  <si>
    <t>ACR- Big Printer- Toner</t>
  </si>
  <si>
    <t>FGTEC-003-001</t>
  </si>
  <si>
    <t>TV 32"- 32A4NR</t>
  </si>
  <si>
    <t>Hisense</t>
  </si>
  <si>
    <t>FGTEC-004-001</t>
  </si>
  <si>
    <t>TV 43"- 43A7N</t>
  </si>
  <si>
    <t>FGTEC-005-001</t>
  </si>
  <si>
    <t>TV 55"- 55S7N</t>
  </si>
  <si>
    <t>FGTEC-005-002</t>
  </si>
  <si>
    <t>TV 55"- 55U8N</t>
  </si>
  <si>
    <t>FGTEC-005-003</t>
  </si>
  <si>
    <t>TV 55" - 55S7N (UNBOXED)</t>
  </si>
  <si>
    <t>FGTEC-006-001</t>
  </si>
  <si>
    <t>TV 65"- 65S7N</t>
  </si>
  <si>
    <t>FA Description: 65S7N - Hisense 65" Class S7 CanvasTV 4K</t>
  </si>
  <si>
    <t>FGTEC-006-002</t>
  </si>
  <si>
    <t>TV 65"- 65U8QG- Hi-Sense</t>
  </si>
  <si>
    <t>FGTEC-006-003</t>
  </si>
  <si>
    <t>TV 65"- 65U7N- Hi- Sense</t>
  </si>
  <si>
    <t>FGTEC-006-004</t>
  </si>
  <si>
    <t>TV 65"- ULED- 75U9LUA Hi-Sense</t>
  </si>
  <si>
    <t>FGTEC-007-001</t>
  </si>
  <si>
    <t>TV 75"- 75U8N</t>
  </si>
  <si>
    <t>FGTEC-007-002</t>
  </si>
  <si>
    <t>TV 75" ULED- 75U9LUA Hi-Sense</t>
  </si>
  <si>
    <t>FGTEC-007-003</t>
  </si>
  <si>
    <t>TV 75"- 75S7N Hi-Sense</t>
  </si>
  <si>
    <t>FGTEC-008-001</t>
  </si>
  <si>
    <t>TV 85"- 85U8N</t>
  </si>
  <si>
    <t>FGTEC-008-002</t>
  </si>
  <si>
    <t>TV 85"- 85QD6QF Hi-Sense</t>
  </si>
  <si>
    <t>FGTEC-008-003</t>
  </si>
  <si>
    <t>TV 85" ULED- 85U65QF Hi-Sense</t>
  </si>
  <si>
    <t>FGTEC-009-001</t>
  </si>
  <si>
    <t>C2 Mini Projector</t>
  </si>
  <si>
    <t>Source Description: C2 Hisense C2 Triple Laser</t>
  </si>
  <si>
    <t>FGTEC-009-002</t>
  </si>
  <si>
    <t>C2 Mini Projector- Pro</t>
  </si>
  <si>
    <t>Source Description: C2 Hisense C2 PRO Triple Laser</t>
  </si>
  <si>
    <t>FGTEC-009-003</t>
  </si>
  <si>
    <t>C2 Mini Projector- Ultra</t>
  </si>
  <si>
    <t>Source Description: C2 Hisense C2 ULTRA Triple Laser</t>
  </si>
  <si>
    <t>FGTEC-009-004</t>
  </si>
  <si>
    <t>Mini Projector Ceiling Metal Mount- CM8Q</t>
  </si>
  <si>
    <t>Source Description: Mini Projector Ceiling Metal Mount - CM8Q</t>
  </si>
  <si>
    <t>FGTEC-010-001</t>
  </si>
  <si>
    <t>TV 100"- 10U8K</t>
  </si>
  <si>
    <t>Source Description: 100U8QG - Hisense 100" Class U8 Series MiniLED</t>
  </si>
  <si>
    <t>FGTEC-011-001</t>
  </si>
  <si>
    <t>Laser Projector- PX3- PRO</t>
  </si>
  <si>
    <t>Source Description: PX3-PRO, Triple Laser, Home Theater UST Projector (up to 150")</t>
  </si>
  <si>
    <t>FGTEC-012-001</t>
  </si>
  <si>
    <t>Screen for Laser Projector- DLT100-B</t>
  </si>
  <si>
    <t>Source Description: DLT100-B Hisense 100" Ultra High-Definition Ambient Light Rejecting projector Screen - Daylight</t>
  </si>
  <si>
    <t>FGTEC-012-002</t>
  </si>
  <si>
    <t>Screen for Laser Projector- DLT100-C</t>
  </si>
  <si>
    <t>Source Description: DLT100-C Hisense 100" Ultra High-Definition Ambient Light Rejecting projector Screen - Daylight</t>
  </si>
  <si>
    <t>FGTEC-012-003</t>
  </si>
  <si>
    <t>Screen for Laser Projector- DLT110-B</t>
  </si>
  <si>
    <t>FGTEC-013-001</t>
  </si>
  <si>
    <t>24" Monitor</t>
  </si>
  <si>
    <t>Lenovo</t>
  </si>
  <si>
    <t>Source Description: Lenovo ThinkVision P24h-30 LCD Monitor</t>
  </si>
  <si>
    <t>FGTEC-014-001</t>
  </si>
  <si>
    <t>TV Stand</t>
  </si>
  <si>
    <t>VIVO</t>
  </si>
  <si>
    <t>FGTEC-014-002</t>
  </si>
  <si>
    <t>TV Mount Hardware Kits</t>
  </si>
  <si>
    <t>FGTEC-014-003</t>
  </si>
  <si>
    <t>TV Mount Kit</t>
  </si>
  <si>
    <t>FGTEC-014-004</t>
  </si>
  <si>
    <t>TV Stand (BOXED)</t>
  </si>
  <si>
    <t>FGTEC-015-001</t>
  </si>
  <si>
    <t>Thermal Printers for Queueing Ticketing</t>
  </si>
  <si>
    <t>Epson</t>
  </si>
  <si>
    <t>Source Description: Thermal Printers for Queueing ticketing - Epson for Accreditation</t>
  </si>
  <si>
    <t>FGTEC-016-001</t>
  </si>
  <si>
    <t>Mouse- USB</t>
  </si>
  <si>
    <t>Source Description: Lenovo essential USB Mouse</t>
  </si>
  <si>
    <t>FGTEC-018-001</t>
  </si>
  <si>
    <t>5G SIM Card Verizon/Nokia</t>
  </si>
  <si>
    <t>FGTEC-019-001</t>
  </si>
  <si>
    <t>Network Equipment- Verizon</t>
  </si>
  <si>
    <t>FGTEC-019-002</t>
  </si>
  <si>
    <t>Network Equipment - (ACR) USB Device Server</t>
  </si>
  <si>
    <t>FGTEC-020-001</t>
  </si>
  <si>
    <t>Scarlet Audio Mixers</t>
  </si>
  <si>
    <t>FGTEC-021-001</t>
  </si>
  <si>
    <t>Audio to USB-C Adapters</t>
  </si>
  <si>
    <t>FGTEC-022-001</t>
  </si>
  <si>
    <t>Mifi Device (TCL)</t>
  </si>
  <si>
    <t>FGTEC-022-002</t>
  </si>
  <si>
    <t>Mifi Device (SONIM)</t>
  </si>
  <si>
    <t>FGTEC-023-001</t>
  </si>
  <si>
    <t>Barcode Scanners</t>
  </si>
  <si>
    <t>FGTEC-024-001</t>
  </si>
  <si>
    <t>ThinkSmart Bar for Conference Rooms</t>
  </si>
  <si>
    <t>FGTEC-025-001</t>
  </si>
  <si>
    <t>Two Way Radios</t>
  </si>
  <si>
    <t>FGTEC-026-001</t>
  </si>
  <si>
    <t>RFID Card Reader</t>
  </si>
  <si>
    <t>FGTEC-027-001</t>
  </si>
  <si>
    <t>Konica Minolta Toner</t>
  </si>
  <si>
    <t>FGTEC-027-002</t>
  </si>
  <si>
    <t>KONICA Toner C3100P</t>
  </si>
  <si>
    <t>FGTEC-027-003</t>
  </si>
  <si>
    <t>KONICA Toner C4050i, C4051i, C3350i, C3351i</t>
  </si>
  <si>
    <t>FGTEC-028-001</t>
  </si>
  <si>
    <t>USB-C Ethernet Adapters</t>
  </si>
  <si>
    <t>FGTEC-029-001</t>
  </si>
  <si>
    <t>Toolbox</t>
  </si>
  <si>
    <t>FGTEC-030-001</t>
  </si>
  <si>
    <t>Broadcast Stereo Headset</t>
  </si>
  <si>
    <t>FGTEC-031-001</t>
  </si>
  <si>
    <t>Breakout Cables 6'</t>
  </si>
  <si>
    <t>FGTEC-032-001</t>
  </si>
  <si>
    <t>Radio Earpieces</t>
  </si>
  <si>
    <t>FGTEC-033-001</t>
  </si>
  <si>
    <t>HDMI Cables</t>
  </si>
  <si>
    <t>FGTEC-033-002</t>
  </si>
  <si>
    <t>HDMI Cable 10'</t>
  </si>
  <si>
    <t>FGTEC-034-001</t>
  </si>
  <si>
    <t>USB-A to USB-B Cables</t>
  </si>
  <si>
    <t>FGTEC-035-001</t>
  </si>
  <si>
    <t>USB-C to 3.5mm Audio Adapter</t>
  </si>
  <si>
    <t>FGTEC-036-001</t>
  </si>
  <si>
    <t>USB-C to 2.5G Ethernet Adapter</t>
  </si>
  <si>
    <t>FGTEC-037-001</t>
  </si>
  <si>
    <t>ID Card Printer​ Cleaning Card</t>
  </si>
  <si>
    <t>FGTEC-038-001</t>
  </si>
  <si>
    <t>PIXMA TR160 Wireless Portable Business Printer</t>
  </si>
  <si>
    <t>FGTEC-039-001</t>
  </si>
  <si>
    <t>Cellular Gateway- Meraki</t>
  </si>
  <si>
    <t>FGTEC-040-001</t>
  </si>
  <si>
    <t>4 Port Industrial USB 3.0 Hub W/ Wall Mounts</t>
  </si>
  <si>
    <t>FGTEC-041-001</t>
  </si>
  <si>
    <t>Microphone Cable C25B</t>
  </si>
  <si>
    <t>FGTEC-042-001</t>
  </si>
  <si>
    <t>Android TV Device</t>
  </si>
  <si>
    <t>FGTEC-043-001</t>
  </si>
  <si>
    <t>Table Stand + Remote for Conference Bar</t>
  </si>
  <si>
    <t>FGTEC-044-001</t>
  </si>
  <si>
    <t>TV Remote Controls</t>
  </si>
  <si>
    <t>FGTEC-044-002</t>
  </si>
  <si>
    <t>TV Power Cords</t>
  </si>
  <si>
    <t>FGTEC-044-003</t>
  </si>
  <si>
    <t>TV Power Cord</t>
  </si>
  <si>
    <t>FGTEC-045-001</t>
  </si>
  <si>
    <t>300 Dye Films</t>
  </si>
  <si>
    <t>FGTEC-046-001</t>
  </si>
  <si>
    <t>Konica Printer - A3  Wheels</t>
  </si>
  <si>
    <t>Konika</t>
  </si>
  <si>
    <t>FGTEC-046-002</t>
  </si>
  <si>
    <t>Konica Printer - A4</t>
  </si>
  <si>
    <t>FGTEC-047-001</t>
  </si>
  <si>
    <t>ESP Next Gen Surge Protector</t>
  </si>
  <si>
    <t>FGTEC-048-001</t>
  </si>
  <si>
    <t>Lenovo L14 - Gen5 - Presentation (PRT) image</t>
  </si>
  <si>
    <t>FGTPT-001-001</t>
  </si>
  <si>
    <t>Vehicle Key Holder</t>
  </si>
  <si>
    <t>FGTSV-001-001</t>
  </si>
  <si>
    <t>Coaching Stick, Agility Pole, Yellow</t>
  </si>
  <si>
    <t>UZ1500-08</t>
  </si>
  <si>
    <t>Source Complete set of 10 of each color: blue, yellow</t>
  </si>
  <si>
    <t>FGTSV-001-002</t>
  </si>
  <si>
    <t>Coaching Stick, Agility Pole, Blue</t>
  </si>
  <si>
    <t>UZ1500-04</t>
  </si>
  <si>
    <t>FGTSV-001-003</t>
  </si>
  <si>
    <t>Coaching Stick, Agility Pole, Yellow, FWC26</t>
  </si>
  <si>
    <t>UZ1500-08F</t>
  </si>
  <si>
    <t>FGTSV-001-004</t>
  </si>
  <si>
    <t>Coaching Stick, Agility Pole, Blue, FWC26</t>
  </si>
  <si>
    <t>UZ1500-04F</t>
  </si>
  <si>
    <t>FGTSV-002-001</t>
  </si>
  <si>
    <t>Agility Cones</t>
  </si>
  <si>
    <t>6A10 &amp; 6B2</t>
  </si>
  <si>
    <t>FGTSV-003-001</t>
  </si>
  <si>
    <t>Corner Flagpole with Flag</t>
  </si>
  <si>
    <t>6B504</t>
  </si>
  <si>
    <t>FGTSV-003-002</t>
  </si>
  <si>
    <t>Corner Flagpole (DIRTY)</t>
  </si>
  <si>
    <t>FGTSV-003-003</t>
  </si>
  <si>
    <t>Corner Flagpole with Flag, FWC26</t>
  </si>
  <si>
    <t>6B504F</t>
  </si>
  <si>
    <t>FGTSV-004-001</t>
  </si>
  <si>
    <t>Digital Ball Pump (Electrical) KWIKGOAL</t>
  </si>
  <si>
    <t>1A571</t>
  </si>
  <si>
    <t>FGTSV-004-002</t>
  </si>
  <si>
    <t>Ball Pump, Electric Sparmax</t>
  </si>
  <si>
    <t>1A601</t>
  </si>
  <si>
    <t>Sparmax</t>
  </si>
  <si>
    <t>Source Description: Portable Air Compressor</t>
  </si>
  <si>
    <t>FGTSV-004-003</t>
  </si>
  <si>
    <t>Ball Pump, Electric Volcano</t>
  </si>
  <si>
    <t>FGTSV-004-004</t>
  </si>
  <si>
    <t>Digital Ball Pump (Electrical) KWIKGOAL, FWC26</t>
  </si>
  <si>
    <t>1A571F</t>
  </si>
  <si>
    <t>FGTSV-005-001</t>
  </si>
  <si>
    <t>Ball pump (Manual)</t>
  </si>
  <si>
    <t>1A561</t>
  </si>
  <si>
    <t>FGTSV-005-002</t>
  </si>
  <si>
    <t>Ball pump (Manual), FWC26</t>
  </si>
  <si>
    <t>1A561F</t>
  </si>
  <si>
    <t>FGTSV-006-001</t>
  </si>
  <si>
    <t>Football Pressure Gauge, Dial</t>
  </si>
  <si>
    <t>PG-3</t>
  </si>
  <si>
    <t>FGTSV-006-002</t>
  </si>
  <si>
    <t>Football Pressure Gauge, Stick</t>
  </si>
  <si>
    <t>FGTSV-006-003</t>
  </si>
  <si>
    <t>Football Pressure Gauge, FWC26</t>
  </si>
  <si>
    <t>FGTSV-007-001</t>
  </si>
  <si>
    <t>Cooler Box, 170QT GREY</t>
  </si>
  <si>
    <t>KZ482</t>
  </si>
  <si>
    <t>FGTSV-007-002</t>
  </si>
  <si>
    <t>Cooler box, 170QT SAND</t>
  </si>
  <si>
    <t>FGTSV-007-003</t>
  </si>
  <si>
    <t>Cooler Box, 170QT Teal</t>
  </si>
  <si>
    <t>FGTSV-007-004</t>
  </si>
  <si>
    <t>Cooler Box, 170QT White</t>
  </si>
  <si>
    <t>FGTSV-007-005</t>
  </si>
  <si>
    <t>Cooler box, Powerade</t>
  </si>
  <si>
    <t>FGTSV-007-006</t>
  </si>
  <si>
    <t>Cooler (Boxed), YETI TUNDRA COOLER 75QT</t>
  </si>
  <si>
    <t>FGTSV-008-001</t>
  </si>
  <si>
    <t>Speed Ladder (plus carry bag)- IN BAG</t>
  </si>
  <si>
    <t>16A601</t>
  </si>
  <si>
    <t>FGTSV-008-002</t>
  </si>
  <si>
    <t>Speed Ladder (plus carry bag)- NO BOX/NO BAG</t>
  </si>
  <si>
    <t>FGTSV-008-003</t>
  </si>
  <si>
    <t>Speed Ladder (plus carry bag)- IN BOX</t>
  </si>
  <si>
    <t>FGTSV-009-001</t>
  </si>
  <si>
    <t>Football Hurdles, 6"</t>
  </si>
  <si>
    <t>16A4308</t>
  </si>
  <si>
    <t>FGTSV-009-002</t>
  </si>
  <si>
    <t>Football Hurdles, 9"</t>
  </si>
  <si>
    <t>16A4301</t>
  </si>
  <si>
    <t>FGTSV-009-003</t>
  </si>
  <si>
    <t>Football Hurdles, 12"</t>
  </si>
  <si>
    <t>16A4304</t>
  </si>
  <si>
    <t>FGTSV-009-004</t>
  </si>
  <si>
    <t>Football Hurdles, 6", Yellow, FWC26</t>
  </si>
  <si>
    <t>16A4308F</t>
  </si>
  <si>
    <t>FGTSV-009-005</t>
  </si>
  <si>
    <t>Football Hurdles, 9", Red, FWC26</t>
  </si>
  <si>
    <t>16A4301F</t>
  </si>
  <si>
    <t>FGTSV-009-006</t>
  </si>
  <si>
    <t>Football Hurdles, 12", Blue, FWC26</t>
  </si>
  <si>
    <t>16A4304F</t>
  </si>
  <si>
    <t>FGTSV-010-001</t>
  </si>
  <si>
    <t>Mini-Training Goals</t>
  </si>
  <si>
    <t>2B1903</t>
  </si>
  <si>
    <t>FGTSV-010-002</t>
  </si>
  <si>
    <t>Mini-Training Goals, FWC26</t>
  </si>
  <si>
    <t>2B1903F</t>
  </si>
  <si>
    <t>Source Description: Goalazo 3 x 5 Mini Goals</t>
  </si>
  <si>
    <t>FGTSV-011-001</t>
  </si>
  <si>
    <t>Yoga Mat</t>
  </si>
  <si>
    <t>27A806</t>
  </si>
  <si>
    <t>FGTSV-011-002</t>
  </si>
  <si>
    <t>Yoga Mat, FWC26</t>
  </si>
  <si>
    <t>27A806F</t>
  </si>
  <si>
    <t>FGTSV-012-001</t>
  </si>
  <si>
    <t>Spare Goal Net/3B6826</t>
  </si>
  <si>
    <t>3B6826</t>
  </si>
  <si>
    <t>Per TSV, these warm-up goal nets
Source Description: Spare Portable Goal Nets (1x Set)</t>
  </si>
  <si>
    <t>FGTSV-012-002</t>
  </si>
  <si>
    <t>Spare Goal Net/3B7802</t>
  </si>
  <si>
    <t>3B7802</t>
  </si>
  <si>
    <t>FGTSV-012-003</t>
  </si>
  <si>
    <t>Spare Goal Net/3B6826, FWC26</t>
  </si>
  <si>
    <t>FGTSV-012-004</t>
  </si>
  <si>
    <t>Spare Goal Net/3B7802, FWC26</t>
  </si>
  <si>
    <t>FGTSV-013-001</t>
  </si>
  <si>
    <t>Free-kick Wall Mannequins</t>
  </si>
  <si>
    <t>16B2708</t>
  </si>
  <si>
    <t>FGTSV-013-002</t>
  </si>
  <si>
    <t>Free-kick Wall Mannequins, FWC26</t>
  </si>
  <si>
    <t>FGTSV-014-001</t>
  </si>
  <si>
    <t>Double Row Team Bench, Portable 2 Row Custom Shelter 15 ft w/Luxury Seats</t>
  </si>
  <si>
    <t>KP-386-200</t>
  </si>
  <si>
    <t>Complete Set Includes: 1 Large Shelter, 6 Double Seater, 1 Single Seat, 2 Platforms</t>
  </si>
  <si>
    <t>FGTSV-014-003</t>
  </si>
  <si>
    <t>Player Bench Seats, old version</t>
  </si>
  <si>
    <t>FGTSV-015-001</t>
  </si>
  <si>
    <t>Surveyors Tape, 100M</t>
  </si>
  <si>
    <t>FGTSV-015-002</t>
  </si>
  <si>
    <t>Surveyors Tape, 50m</t>
  </si>
  <si>
    <t>FGTSV-016-001</t>
  </si>
  <si>
    <t>4 Man Bench, 9' Portable Only Shelter</t>
  </si>
  <si>
    <t>KP-385-200</t>
  </si>
  <si>
    <t>Set to include: 2 Double Seats, 1 Shelter (smallest)</t>
  </si>
  <si>
    <t>FGTSV-017-001</t>
  </si>
  <si>
    <t>Rope Pack Box Hex Net, Spare Backstay Lines/Straps FWC26</t>
  </si>
  <si>
    <t>JZ301-01</t>
  </si>
  <si>
    <t>FGTSV-018-001</t>
  </si>
  <si>
    <t>Spray Touch Up Paint, White, FWC26</t>
  </si>
  <si>
    <t>10A12</t>
  </si>
  <si>
    <t>FGTSV-019-001</t>
  </si>
  <si>
    <t>Spare Net Strap Wrenches, FWC26</t>
  </si>
  <si>
    <t>VZ958</t>
  </si>
  <si>
    <t>FGTSV-019-002</t>
  </si>
  <si>
    <t>Spare Net Strap Wrenches, No KG WHDW, FWC26</t>
  </si>
  <si>
    <t>VZ958-01</t>
  </si>
  <si>
    <t>FNBNC-001-001</t>
  </si>
  <si>
    <t>Folding Bench (6ft.)</t>
  </si>
  <si>
    <t>FNBNC-001-002</t>
  </si>
  <si>
    <t>Folding Bench, 6ft Plastic White, VINGLI</t>
  </si>
  <si>
    <t>VINGLI</t>
  </si>
  <si>
    <t>VINGLI starts by developing products that you will value. Then we do our best to make our products the most affordable products on the market. All this is to achieve a goal: to do our part for living better. VINGLI outdoor plastic table and chair series is committed to providing a convenient and better life. There is a big service team behind you, because your satisfaction is our first pursuit.</t>
  </si>
  <si>
    <t>FNBNC-002-002</t>
  </si>
  <si>
    <t>Outdoor Garden Bench 50 in.</t>
  </si>
  <si>
    <t>SVOPES</t>
  </si>
  <si>
    <t>SVOPES Garden Bench, Your Perfect Outdoor Retreat. Enhance Your Outdoor Space with Style and Comfort. This outdoor bench is an excellent addition to any exterior setting. With a sturdy metal frame built to withstand the elements, it features a spacious seating design that comfortably accommodates 1-3 people. Enjoy quality time with family and friends while relaxing in complete comfort, thanks to the gently sloped backrest and ergonomically curved armrests. Designed for Outdoor Durability, Elegant Aesthetic, Exceptional Comfort, Hassle-Free Assembly.</t>
  </si>
  <si>
    <t>FNCAB-001-001</t>
  </si>
  <si>
    <t>Storage Cabinet Wooden, Counter Height</t>
  </si>
  <si>
    <t>9403.60.8045</t>
  </si>
  <si>
    <t>FNCAB-002-001</t>
  </si>
  <si>
    <t>Storage Cabinet Steel, High</t>
  </si>
  <si>
    <t>FNCAB-002-002</t>
  </si>
  <si>
    <t>Storage Cabinet, Steel - Container</t>
  </si>
  <si>
    <t>FNCAB-002-003</t>
  </si>
  <si>
    <t>9403.20.</t>
  </si>
  <si>
    <t>FNCAB-002-004</t>
  </si>
  <si>
    <t>Storage Cabinet, Steel - Non-Container</t>
  </si>
  <si>
    <t>FNCHR-001-001</t>
  </si>
  <si>
    <t>Butterfly Task Chair</t>
  </si>
  <si>
    <t>FNCHR-001-002</t>
  </si>
  <si>
    <t>Task Chair W/ Arms</t>
  </si>
  <si>
    <t>9401.39.</t>
  </si>
  <si>
    <t>FNCHR-001-003</t>
  </si>
  <si>
    <t>Executive Chair - Costway</t>
  </si>
  <si>
    <t>Costway</t>
  </si>
  <si>
    <t>Made of high-density sponge and selected leather, the chair will effectively relieve your tiredness after long-time work. The high backrest with ergonomic design fits well with your body curve. Unlike the ordinary chair seen in the market, this executive chair features rocking backrest, which lets you rock back and forth to alleviate fatigue throughout a long working day. What' more, you can move it anywhere due to the universal wheel. The seat can be easily adjusted to your desired height according to different individual needs. Enjoy your leisure time and work with this soft chair!</t>
  </si>
  <si>
    <t>FNCHR-001-004</t>
  </si>
  <si>
    <t>Task Chair with Arms - VECELO</t>
  </si>
  <si>
    <t>Vecelo</t>
  </si>
  <si>
    <t>Boost productivity and comfort with this fully adjustable task chair featuring multiple ergonomic elements. The 3D-contour backrest and adjustable padded armrests conform to your body for proper support that reduces muscular tension while the swivel base and heavy-duty casters allow smooth mobility with no damage to flooring. The mesh backrest offers breathability that keeps your back cool and dry during long work sessions. With weight capacity up to 275 lbs., this multi-functional computer chair works equally well in home offices, workstations and for students. Simple DIY assembly - all hardware and instructions are included.</t>
  </si>
  <si>
    <t>FNCHR-001-005</t>
  </si>
  <si>
    <t>Silla de Malla para Trabajo</t>
  </si>
  <si>
    <t>FNCHR-002-001</t>
  </si>
  <si>
    <t>Folding Chair, White/Black, Non-Padded Seat</t>
  </si>
  <si>
    <t>FNCHR-002-002</t>
  </si>
  <si>
    <t>Plastic Folding Chair</t>
  </si>
  <si>
    <t>9401.80.</t>
  </si>
  <si>
    <t>FNCHR-004-001</t>
  </si>
  <si>
    <t>Razor Armless Chair, Stackable, White</t>
  </si>
  <si>
    <t>FNCHR-004-002</t>
  </si>
  <si>
    <t>Cafe Chair</t>
  </si>
  <si>
    <t>FNCHR-006-001</t>
  </si>
  <si>
    <t>Marina Barstool, Black Vinyl (Armless)</t>
  </si>
  <si>
    <t>FNCHR-006-002</t>
  </si>
  <si>
    <t>Bar Chair with Arms</t>
  </si>
  <si>
    <t>FNCHR-006-003</t>
  </si>
  <si>
    <t>Marina Barstool, White Vinyl (Armless)</t>
  </si>
  <si>
    <t>FNCHR-007-001</t>
  </si>
  <si>
    <t>Nash Chair, Stackable, Black Vinyl</t>
  </si>
  <si>
    <t>FNCHR-007-002</t>
  </si>
  <si>
    <t>Media Working Chair</t>
  </si>
  <si>
    <t>FNDSK-001-001</t>
  </si>
  <si>
    <t>Work Table, White (4ft.)</t>
  </si>
  <si>
    <t>FNDSK-001-002</t>
  </si>
  <si>
    <t>Staks Desk, White (4ft. 48x30x30)</t>
  </si>
  <si>
    <t>FNDSK-001-003</t>
  </si>
  <si>
    <t>Staks Desk, Steel Grey Oak (4ft, 48x30x30)</t>
  </si>
  <si>
    <t>FNDSK-001-004</t>
  </si>
  <si>
    <t>Distinct Table, White (42in.)</t>
  </si>
  <si>
    <t>FNDSK-001-005</t>
  </si>
  <si>
    <t>Staks Desk, White, Narrow (4ft, 48x22x30)</t>
  </si>
  <si>
    <t>FNDSK-001-006</t>
  </si>
  <si>
    <t>Staks Desk, Steel Grey Oak, Narrow (4ft, 48x22x30)</t>
  </si>
  <si>
    <t>FNDSK-001-007</t>
  </si>
  <si>
    <t>Staks Desk, White (5ft, 60x30x30)</t>
  </si>
  <si>
    <t>FNDSK-001-008</t>
  </si>
  <si>
    <t>Staks Desk, White, Narrow (6ft, 72x22x30)</t>
  </si>
  <si>
    <t>FNDSK-001-009</t>
  </si>
  <si>
    <t>Desk Office, Standard (4ft/1.2m)</t>
  </si>
  <si>
    <t>9403.10.</t>
  </si>
  <si>
    <t>FNDSK-001-010</t>
  </si>
  <si>
    <t>Cardboard Table 1.2 meters</t>
  </si>
  <si>
    <t>Re-board</t>
  </si>
  <si>
    <t>Sweden</t>
  </si>
  <si>
    <t>FNDSK-001-011</t>
  </si>
  <si>
    <t>Mesa de Oficina - Colección Urbana, 48 x 24", Gris</t>
  </si>
  <si>
    <t>FNDSK-002-001</t>
  </si>
  <si>
    <t>Staks Table, White (5.5ft, 66x30x30)</t>
  </si>
  <si>
    <t>FNDSK-002-002</t>
  </si>
  <si>
    <t>Staks Table, White, Narrow (5.5ft, 66x22x30)</t>
  </si>
  <si>
    <t>FNDSK-002-003</t>
  </si>
  <si>
    <t>Desk Office, Large (5ft/1.6m)</t>
  </si>
  <si>
    <t>FNDSK-002-004</t>
  </si>
  <si>
    <t>Staks Table, Steel Greak Oak (5.5ft, 66x30x30)</t>
  </si>
  <si>
    <t>FNDSK-002-005</t>
  </si>
  <si>
    <t>Cardboard Table 1.6 meter</t>
  </si>
  <si>
    <t>FNDSK-002-006</t>
  </si>
  <si>
    <t>Mesa de Oficina - Colección Urbana, 60 x 30", Gris</t>
  </si>
  <si>
    <t>FNLCR-001-001</t>
  </si>
  <si>
    <t>Double Tier Locker</t>
  </si>
  <si>
    <t>FNLCR-001-002</t>
  </si>
  <si>
    <t>FNLCR-001-003</t>
  </si>
  <si>
    <t>FNLCR-002-001</t>
  </si>
  <si>
    <t>Four Tier Locker</t>
  </si>
  <si>
    <t>FNLCR-002-002</t>
  </si>
  <si>
    <t>FNLCR-002-003</t>
  </si>
  <si>
    <t>FNLFN-001-001</t>
  </si>
  <si>
    <t>Naples Chair, Black Vinyl</t>
  </si>
  <si>
    <t>FNLFN-001-002</t>
  </si>
  <si>
    <t>Lounge Chair</t>
  </si>
  <si>
    <t>FNLFN-002-001</t>
  </si>
  <si>
    <t>Naples Loveseat, Black Vinyl</t>
  </si>
  <si>
    <t>FNLFN-002-002</t>
  </si>
  <si>
    <t>Sofa, Two Seat</t>
  </si>
  <si>
    <t>FNLFN-003-001</t>
  </si>
  <si>
    <t>Naples Sofa, Black Vinyl</t>
  </si>
  <si>
    <t>FNLFN-003-002</t>
  </si>
  <si>
    <t>Sofa, Three Seat</t>
  </si>
  <si>
    <t>FNLFN-003-003</t>
  </si>
  <si>
    <t>Sofa, Three Seat - Dark Gray</t>
  </si>
  <si>
    <t>Lazzara</t>
  </si>
  <si>
    <t>Enhance your living space or office with the comfortable and stylish design of this 3-seat faux leather sofa. Built with a sturdy plywood frame and featuring supportive foam padding over pocket coils, this sofa offers lasting comfort for relaxing or collaborative work. The durable faux leather upholstery provides a sleek and easy-to-clean surface that complements a variety of decor styles. The clean lines and attached back and seat cushions create a streamlined silhouette, while the exposed feet with a warm brown faux wood finish add a touch of sophistication. With a weight capacity of 300lbs per seat, this sofa is both stylish and robust, making it a perfect addition to any living room, office waiting area, or apartment. Assembly is required.</t>
  </si>
  <si>
    <t>FNLFN-004-001</t>
  </si>
  <si>
    <t>Bean Bag</t>
  </si>
  <si>
    <t>FNLFN-004-002</t>
  </si>
  <si>
    <t>Bean Bag Chair, Blue</t>
  </si>
  <si>
    <t>Noble House</t>
  </si>
  <si>
    <t>Made with faux suede microfiber and eco-friendly filler, these beanbags offer a fun twist on comfort that will get you excited about lounging. Made in the USA, the seams are double-stitched to prevent any leaks. You simply can't go wrong with the Ellianna Bean Bag.</t>
  </si>
  <si>
    <t>FNMIR-001-001</t>
  </si>
  <si>
    <t>Floor Mirror</t>
  </si>
  <si>
    <t>FNMIR-001-002</t>
  </si>
  <si>
    <t>7009.92.</t>
  </si>
  <si>
    <t>FNMIR-001-003</t>
  </si>
  <si>
    <t>Floor Mirror, Mobile</t>
  </si>
  <si>
    <t>H-10103</t>
  </si>
  <si>
    <t>Crisp, high-quality glass mirror easily tilts to desired angle. Single-sided.
Steel frame with attractive chrome finish.
2 1/2" casters, 2 locking.</t>
  </si>
  <si>
    <t>FNRCK-001-001</t>
  </si>
  <si>
    <t>Clothes Rack</t>
  </si>
  <si>
    <t>FNRCK-001-002</t>
  </si>
  <si>
    <t>Garment Rolling Rack</t>
  </si>
  <si>
    <t>FNRCK-001-003</t>
  </si>
  <si>
    <t>Clothing Rack</t>
  </si>
  <si>
    <t>FNRCK-001-004</t>
  </si>
  <si>
    <t>Clothes Rack, Black Z Rack</t>
  </si>
  <si>
    <t>Only Hangers</t>
  </si>
  <si>
    <t>Only Hangers high quality Z racks are built to last! If you are looking for a true commercial grade rolling rack capable of holding 400+ lbs. Of clothing then this is the rack you need. Now available with built-in height adjusters that enable you to raise or lower the rack height with the push of a button. Rack adjusts to (4) different heights 70 in., 75 in., 80 in. and 85 in. to accommodate all types of garments.</t>
  </si>
  <si>
    <t>FNRCK-001-005</t>
  </si>
  <si>
    <t>FNSAF-001-001</t>
  </si>
  <si>
    <t>Floor Safe, Digital</t>
  </si>
  <si>
    <t>FNSAF-001-002</t>
  </si>
  <si>
    <t>Floor Safe, Digital, Vevor</t>
  </si>
  <si>
    <t>Final Draw</t>
  </si>
  <si>
    <t>FNSAF-001-003</t>
  </si>
  <si>
    <t>Floor Safe, SentrySafe (Black) - CHECK BATTERIES</t>
  </si>
  <si>
    <t>SentrySafe</t>
  </si>
  <si>
    <t>Feel confident in the security of your business assets with the SentrySafe T0-331 Security Safe. This safe is built to withstand break-ins and theft. It also has a thick solid steel anti-drill door and three live-locking bolts.</t>
  </si>
  <si>
    <t>FNSAF-001-004</t>
  </si>
  <si>
    <t>Floor Safe</t>
  </si>
  <si>
    <t>South Korea</t>
  </si>
  <si>
    <t>FNSHL-001-001</t>
  </si>
  <si>
    <t>Shelving Unit, Plastic (SM) - 36x18</t>
  </si>
  <si>
    <t>9403.70.</t>
  </si>
  <si>
    <t>FNSHL-001-002</t>
  </si>
  <si>
    <t>Shelving Unit, Plastic (Yellow)</t>
  </si>
  <si>
    <t>9403.70.99</t>
  </si>
  <si>
    <t>FNSHL-001-003</t>
  </si>
  <si>
    <t>Shelving Unit, Plastic (LRG) - 36x24</t>
  </si>
  <si>
    <t>FNSHL-001-004</t>
  </si>
  <si>
    <t>Shelving Unit, Plastic, HDX 5-Tier</t>
  </si>
  <si>
    <t>HDX</t>
  </si>
  <si>
    <t>The HDX 5-tier shelving unit is 74 in. H x 36 in. W x 18 in. D. This multi-purpose storage unit can be used in any room. The ventilated plastic is durable and easy to clean, making it ideal for pantry, kitchen, or utility storage. This durable unit is also great shelving for the garage, as it made of eco-friendly recycled plastic, can hold up to 150 lbs. per shelf (750 lbs. total), and was built to fit most plastic storage totes.</t>
  </si>
  <si>
    <t>FNSHL-001-005</t>
  </si>
  <si>
    <t>Shelving Unit, Plastic</t>
  </si>
  <si>
    <t>FNTBL-001-001</t>
  </si>
  <si>
    <t>Table Folding Rectangle, Standard (4ft/1.2m)</t>
  </si>
  <si>
    <t>9402 90</t>
  </si>
  <si>
    <t>FNTBL-001-002</t>
  </si>
  <si>
    <t>Table Folding Table, Plastic 60x30</t>
  </si>
  <si>
    <t>FNTBL-001-003</t>
  </si>
  <si>
    <t>Folding Table, Gray Granite (4ft/1.2m) - Container</t>
  </si>
  <si>
    <t>FNTBL-001-004</t>
  </si>
  <si>
    <t>FNTBL-001-005</t>
  </si>
  <si>
    <t>Folding Table, Gray Granite (4ft/1.2m) - Non-Container</t>
  </si>
  <si>
    <t>FNTBL-001-006</t>
  </si>
  <si>
    <t>Mesa Plegable Económica - 48 x 24", Blanca</t>
  </si>
  <si>
    <t>FNTBL-002-001</t>
  </si>
  <si>
    <t>Folding Table, Gray Granite (6ft/1.8m) - Container</t>
  </si>
  <si>
    <t>FNTBL-002-002</t>
  </si>
  <si>
    <t>Table Folding Rectangle, Large (6ft/1.8m)</t>
  </si>
  <si>
    <t>FNTBL-002-003</t>
  </si>
  <si>
    <t>Folding Table, Gray Granite (6ft/1.8m) - Non-Container</t>
  </si>
  <si>
    <t>FNTBL-003-001</t>
  </si>
  <si>
    <t>Cafe Table, Round, Black (30in.)</t>
  </si>
  <si>
    <t>FNTBL-003-002</t>
  </si>
  <si>
    <t>Café Square Table</t>
  </si>
  <si>
    <t>FNTBL-004-001</t>
  </si>
  <si>
    <t>Round Bar Table, Black (30in.)</t>
  </si>
  <si>
    <t>FNTBL-004-002</t>
  </si>
  <si>
    <t>Round Bar Table</t>
  </si>
  <si>
    <t>FNTBL-005-001</t>
  </si>
  <si>
    <t>Ventura Bar Table, 6ft, White</t>
  </si>
  <si>
    <t>FNTBL-005-002</t>
  </si>
  <si>
    <t>Standing Height Table (6ft/1.8m)</t>
  </si>
  <si>
    <t>FNTBL-006-001</t>
  </si>
  <si>
    <t>Cabo End Table (Wood Style)</t>
  </si>
  <si>
    <t>FNTBL-006-002</t>
  </si>
  <si>
    <t>Adelaide End Table (Black and Chrome)</t>
  </si>
  <si>
    <t>FNTBL-006-003</t>
  </si>
  <si>
    <t>Coffee Table</t>
  </si>
  <si>
    <t>9403.60.</t>
  </si>
  <si>
    <t>FNTBL-008-001</t>
  </si>
  <si>
    <t>Picnic Table</t>
  </si>
  <si>
    <t>Lifetime</t>
  </si>
  <si>
    <t>The Lifetime 6 ft. Picnic Table gives you that perfect extra outdoor eating space you've always wanted. Constructed of UV-protected high-density polyethylene and powder-coated steel, our picnic tables are weather and rust resistant, and will not fade, crack, chip or peel. Stronger and more durable than wood, they are low-maintenance, stain resistant and easy to clean. Best of all, Lifetime picnic tables fold completely flat for convenient storage.</t>
  </si>
  <si>
    <t>FNUMB-001-001</t>
  </si>
  <si>
    <t>Outdoor Umbrella</t>
  </si>
  <si>
    <t>FNUMB-001-002</t>
  </si>
  <si>
    <t>Outdoor Umbrella (Walmart)</t>
  </si>
  <si>
    <t>FNUMB-001-003</t>
  </si>
  <si>
    <t>Outdoor Umbrella W/Base - Umbrella - One unit at WMS</t>
  </si>
  <si>
    <t>6601.10.</t>
  </si>
  <si>
    <t>FNUMB-001-004</t>
  </si>
  <si>
    <t>Outdoor Umbrella, Beige 9ft</t>
  </si>
  <si>
    <t>Pure Garden</t>
  </si>
  <si>
    <t>Create comfortable shade for your next backyard get-together with the help of the 10-Foot Patio Umbrellas by Pure Garden. The easy-to-use hand-crank opens and closes the large patio umbrella in seconds while its steel ribs keep it stable and upright during gusts of wind. This tan umbrella fits tables and patio bases with a 1.5 in. diameter, providing enough shade for picnic table sets for four to six people or to shade part of your pool for pleasant swimming and relaxation on balmy days.</t>
  </si>
  <si>
    <t>FNUMB-001-005</t>
  </si>
  <si>
    <t>Umbrella, Beige (9ft.)</t>
  </si>
  <si>
    <t>FNUMB-001-006</t>
  </si>
  <si>
    <t>FNUMB-002-001</t>
  </si>
  <si>
    <t>Umbrella Base</t>
  </si>
  <si>
    <t>FNUMB-002-002</t>
  </si>
  <si>
    <t>Umbrella Base (Walmart)</t>
  </si>
  <si>
    <t>FNUMB-002-003</t>
  </si>
  <si>
    <t>Umbrella Base, US Weight, Black 80 lbs</t>
  </si>
  <si>
    <t>USW</t>
  </si>
  <si>
    <t>Set up this free-standing umbrella base on your patio or at any outdoor event without worry. The US Weight 80 lbs. Free Standing Umbrella Base is crafted with a high-density polyethylene shell with UV protection that will not dent or fade, and can withstand the elements in any weather climate. This heavy and stable base was prefilled with 80 lbs. of high-strength concrete. Easily transport and setup the base with the removable wheel on bottom and hand grips for easier mobility. The 20.5 in. Dia base features a 14 in. high stem that accommodates poles from 1-1/2 in. through 2 in. thick. Inside the stem is a plastic post protector for the umbrella to rest on instead of a screw leaving the pole undamaged. The stem features 2 knobs made of polypropylene that tighten the umbrella securely in place for added stability and support. All of the steel components are made of grade 304 stainless steel. Grade 304 stainless steel is also used in aerospace engineering and surgical instruments.</t>
  </si>
  <si>
    <t>FNUMB-002-004</t>
  </si>
  <si>
    <t>Umbrella Stand</t>
  </si>
  <si>
    <t>FNUMB-002-005</t>
  </si>
  <si>
    <t>6603.90.</t>
  </si>
  <si>
    <t>FNUMB-002-006</t>
  </si>
  <si>
    <t>Outdoor Umbrella W/Base - Base - One unit at WMS</t>
  </si>
  <si>
    <t>FNUMB-003-001</t>
  </si>
  <si>
    <t>Sandbag, Saddle</t>
  </si>
  <si>
    <t>6307.90.</t>
  </si>
  <si>
    <t>FNUMB-003-002</t>
  </si>
  <si>
    <t>Sandbag</t>
  </si>
  <si>
    <t>FNUMB-003-003</t>
  </si>
  <si>
    <t>LQENQ-001-001</t>
  </si>
  <si>
    <t>Football Table</t>
  </si>
  <si>
    <t>LQENQ-001-002</t>
  </si>
  <si>
    <t>9504.90.</t>
  </si>
  <si>
    <t>OEDEB-001-001</t>
  </si>
  <si>
    <t>Mobile Dry Erase Board</t>
  </si>
  <si>
    <t>OEDEB-001-002</t>
  </si>
  <si>
    <t>Mobile Dry Erase Board- GENERIC</t>
  </si>
  <si>
    <t>OEDEB-001-003</t>
  </si>
  <si>
    <t>OEDEB-001-004</t>
  </si>
  <si>
    <t>Mobile Dry Erase Board - CANADA</t>
  </si>
  <si>
    <t>LUXMB6040WW</t>
  </si>
  <si>
    <t>OEDEB-001-005</t>
  </si>
  <si>
    <t>Mobile Dry Erase Board - MEXICO</t>
  </si>
  <si>
    <t>OELAM-001-001</t>
  </si>
  <si>
    <t>Laminator</t>
  </si>
  <si>
    <t>OELAM-001-002</t>
  </si>
  <si>
    <t>Laminator- GENERIC</t>
  </si>
  <si>
    <t>OELAM-001-003</t>
  </si>
  <si>
    <t>Staples® Thermal &amp; Cold Laminator</t>
  </si>
  <si>
    <t>OELAM-001-004</t>
  </si>
  <si>
    <t>Laminator - CANADA</t>
  </si>
  <si>
    <t>GBC50027</t>
  </si>
  <si>
    <t>OELAM-001-005</t>
  </si>
  <si>
    <t>Laminator - MEXICO</t>
  </si>
  <si>
    <t>OEPCT-001-001</t>
  </si>
  <si>
    <t>Paper Trimmer</t>
  </si>
  <si>
    <t>OEPCT-001-002</t>
  </si>
  <si>
    <t>Paper Trimmer- GENERIC</t>
  </si>
  <si>
    <t>OEPCT-001-003</t>
  </si>
  <si>
    <t>United Professional 18" Guillotine Paper Trimmer, Blue</t>
  </si>
  <si>
    <t>OEPCT-001-004</t>
  </si>
  <si>
    <t>Paper Trimmer - CANADA</t>
  </si>
  <si>
    <t>CRI53421262</t>
  </si>
  <si>
    <t>OEPCT-001-005</t>
  </si>
  <si>
    <t>Paper Trimmer - MEXICO</t>
  </si>
  <si>
    <t>OESHR-001-001</t>
  </si>
  <si>
    <t>Shredder</t>
  </si>
  <si>
    <t>8472.90.</t>
  </si>
  <si>
    <t>OESHR-001-002</t>
  </si>
  <si>
    <t>Shredder- GENERIC</t>
  </si>
  <si>
    <t>OESHR-001-003</t>
  </si>
  <si>
    <t>Staples 10-Sheet Micro-Cut Multi-Media Shredder</t>
  </si>
  <si>
    <t>OESHR-001-004</t>
  </si>
  <si>
    <t>Shredder - CANADA</t>
  </si>
  <si>
    <t>STPST62143CA</t>
  </si>
  <si>
    <t>OESHR-001-005</t>
  </si>
  <si>
    <t>Shredder - MEXICO</t>
  </si>
  <si>
    <t>OEUSB-001-001</t>
  </si>
  <si>
    <t>USB Flash Drive</t>
  </si>
  <si>
    <t>OEUSB-001-002</t>
  </si>
  <si>
    <t>Memory Card- GENERIC</t>
  </si>
  <si>
    <t>OEUSB-001-003</t>
  </si>
  <si>
    <t>Verbatim PinStripe 32GB USB 2.0 Type A Flash Drive</t>
  </si>
  <si>
    <t>OEUSB-001-004</t>
  </si>
  <si>
    <t>USB Flash Drive - CANADA</t>
  </si>
  <si>
    <t>VER70062</t>
  </si>
  <si>
    <t>OEUSB-001-005</t>
  </si>
  <si>
    <t>Memory Card - MEXICO</t>
  </si>
  <si>
    <t>OSBND-001-001</t>
  </si>
  <si>
    <t>Rubber Band #16, Pack of 1LB</t>
  </si>
  <si>
    <t>OSBND-001-002</t>
  </si>
  <si>
    <t>Rubber Band</t>
  </si>
  <si>
    <t>STP17781</t>
  </si>
  <si>
    <t>OSBND-001-003</t>
  </si>
  <si>
    <t>Rubber Band- GENERIC</t>
  </si>
  <si>
    <t>OSBND-001-004</t>
  </si>
  <si>
    <t>Staples Economy #16 Rubber Bands</t>
  </si>
  <si>
    <t>OSBND-001-006</t>
  </si>
  <si>
    <t>Rubber Band - MEXICO</t>
  </si>
  <si>
    <t>OSCLB-001-001</t>
  </si>
  <si>
    <t>Clipboard with Cover</t>
  </si>
  <si>
    <t>OSCLB-001-002</t>
  </si>
  <si>
    <t>OSCLB-001-003</t>
  </si>
  <si>
    <t>Clipboard with Cover- MEX</t>
  </si>
  <si>
    <t>OSCLB-001-004</t>
  </si>
  <si>
    <t>OSCLP-001-001</t>
  </si>
  <si>
    <t>Binder Clip - CANADA</t>
  </si>
  <si>
    <t>STP10668</t>
  </si>
  <si>
    <t>OSCLP-001-002</t>
  </si>
  <si>
    <t>Binder Clip- GENERIC</t>
  </si>
  <si>
    <t>OSCLP-001-003</t>
  </si>
  <si>
    <t>Staples Medium Binder Clips</t>
  </si>
  <si>
    <t>OSCLP-001-004</t>
  </si>
  <si>
    <t>Binder Clip - MEXICO</t>
  </si>
  <si>
    <t>OSDES-001-001</t>
  </si>
  <si>
    <t>Dry Erase Board Kit (EXPO)</t>
  </si>
  <si>
    <t>OSDES-001-002</t>
  </si>
  <si>
    <t>Dry Erase Board Kit</t>
  </si>
  <si>
    <t>SAN80653C</t>
  </si>
  <si>
    <t>OSDES-001-003</t>
  </si>
  <si>
    <t>OSDES-001-004</t>
  </si>
  <si>
    <t>Expo Tank Dry Erase Marker Set</t>
  </si>
  <si>
    <t>OSDES-001-005</t>
  </si>
  <si>
    <t>Dry Erase Board Kit - MEXICO</t>
  </si>
  <si>
    <t>OSDES-002-001</t>
  </si>
  <si>
    <t>Circle Magnet, Red, Pack of 20</t>
  </si>
  <si>
    <t>001195</t>
  </si>
  <si>
    <t>OSDES-002-002</t>
  </si>
  <si>
    <t>Magnet, Red- GENERIC</t>
  </si>
  <si>
    <t>OSDES-002-003</t>
  </si>
  <si>
    <t>MasterVision Interchangeable Circle Magnets, Red</t>
  </si>
  <si>
    <t>OSDES-003-001</t>
  </si>
  <si>
    <t>Circle Magnet, Green, Pack of 20</t>
  </si>
  <si>
    <t>001200</t>
  </si>
  <si>
    <t>OSDES-003-002</t>
  </si>
  <si>
    <t>Magnet, Green- GENERIC</t>
  </si>
  <si>
    <t>OSDES-003-003</t>
  </si>
  <si>
    <t>MasterVision Interchangeable Magnetic Character, Circles, Green</t>
  </si>
  <si>
    <t>OSDES-004-001</t>
  </si>
  <si>
    <t>Dry Erase Marker, Black, Pack of 12 (TRU RED)</t>
  </si>
  <si>
    <t>OSDES-004-002</t>
  </si>
  <si>
    <t>Dry Erase Marker, Black, Pack of 12</t>
  </si>
  <si>
    <t>TRUTR56240</t>
  </si>
  <si>
    <t>OSDES-004-003</t>
  </si>
  <si>
    <t>Dry Erase Marker, Black, Pack of 12- GENERIC</t>
  </si>
  <si>
    <t>OSDES-004-004</t>
  </si>
  <si>
    <t>Dry Erase Markers</t>
  </si>
  <si>
    <t>OSDES-004-005</t>
  </si>
  <si>
    <t>Dry Erase Marker, Black, Pack of 12- MEXICO</t>
  </si>
  <si>
    <t>OSDIS-001-001</t>
  </si>
  <si>
    <t>Table Sign Holder, Letter</t>
  </si>
  <si>
    <t>STP16656</t>
  </si>
  <si>
    <t>OSDIS-001-002</t>
  </si>
  <si>
    <t>Table Sign Holder, Letter- GENERIC</t>
  </si>
  <si>
    <t>OSDIS-001-003</t>
  </si>
  <si>
    <t>Deflect-O Sign Holder, 8.75" x 12.5"</t>
  </si>
  <si>
    <t>OSDIS-001-004</t>
  </si>
  <si>
    <t>Table Sign Holder, Letter - USA</t>
  </si>
  <si>
    <t>OSDIS-001-005</t>
  </si>
  <si>
    <t>Table Sign Holder, Letter - MEXICO</t>
  </si>
  <si>
    <t>0003434</t>
  </si>
  <si>
    <t>OSENV-001-001</t>
  </si>
  <si>
    <t>Staples Self Seal #13 1/2 Kraft Catalog Envelope</t>
  </si>
  <si>
    <t>OSFLP-001-001</t>
  </si>
  <si>
    <t>Flip Chart Easel, Pack of 2 (Excello)</t>
  </si>
  <si>
    <t>OSFLP-001-002</t>
  </si>
  <si>
    <t>Flip Chart Easel- GENERIC</t>
  </si>
  <si>
    <t>OSFLP-001-003</t>
  </si>
  <si>
    <t>Excello Global Products Flip Chart Presentation Easel</t>
  </si>
  <si>
    <t>OSFLP-001-004</t>
  </si>
  <si>
    <t>Flip Chart Easel - CANADA</t>
  </si>
  <si>
    <t>STP54005</t>
  </si>
  <si>
    <t>OSFLP-001-005</t>
  </si>
  <si>
    <t>Flip Chart Easel - MEXICO</t>
  </si>
  <si>
    <t>0008101</t>
  </si>
  <si>
    <t>OSGLU-001-001</t>
  </si>
  <si>
    <t>Gluestick</t>
  </si>
  <si>
    <t>UHU99649</t>
  </si>
  <si>
    <t>OSGLU-001-002</t>
  </si>
  <si>
    <t>Gluestick- GENERIC</t>
  </si>
  <si>
    <t>OSGLU-001-003</t>
  </si>
  <si>
    <t>UHU Washable Glue Sticks</t>
  </si>
  <si>
    <t>OSGLU-001-005</t>
  </si>
  <si>
    <t>Gluestick - MEXICO</t>
  </si>
  <si>
    <t>OSKIT-001-001</t>
  </si>
  <si>
    <t>Stationery Kit for CAN ACR</t>
  </si>
  <si>
    <t>Kit</t>
  </si>
  <si>
    <t>OSKIT-001-002</t>
  </si>
  <si>
    <t>Stationery Kit for CAN UDAC</t>
  </si>
  <si>
    <t>OSKIT-001-003</t>
  </si>
  <si>
    <t>Stationery Kit for CAN Volunteer Centre</t>
  </si>
  <si>
    <t>OSKIT-001-004</t>
  </si>
  <si>
    <t>Stationery Kit for CAN VIP Hotel</t>
  </si>
  <si>
    <t>OSKIT-001-005</t>
  </si>
  <si>
    <t>Stationery Kit for CAN VSTS 1</t>
  </si>
  <si>
    <t>OSKIT-001-006</t>
  </si>
  <si>
    <t>Stationery Kit for CAN VSTS 2</t>
  </si>
  <si>
    <t>OSKIT-001-007</t>
  </si>
  <si>
    <t>Stationery Kit for CAN TOR Airport 1</t>
  </si>
  <si>
    <t>OSKIT-001-008</t>
  </si>
  <si>
    <t>Stationery Kit for CAN TOR Airport 2</t>
  </si>
  <si>
    <t>OSKIT-001-009</t>
  </si>
  <si>
    <t>Stationery Kit for CAN VAN Airport</t>
  </si>
  <si>
    <t>OSKIT-001-010</t>
  </si>
  <si>
    <t>Stationery Kit for CAN TOR Fleet Depot</t>
  </si>
  <si>
    <t>OSKIT-001-011</t>
  </si>
  <si>
    <t>Stationery Kit for CAN VAN Fleet Depot</t>
  </si>
  <si>
    <t>OSKIT-001-012</t>
  </si>
  <si>
    <t>Stationery Kit for TOR Stadium</t>
  </si>
  <si>
    <t>OSKIT-001-013</t>
  </si>
  <si>
    <t>Stationery Kit for VAN Stadium</t>
  </si>
  <si>
    <t>OSKIT-001-014</t>
  </si>
  <si>
    <t>Stationery Kit for CAN TBCTS</t>
  </si>
  <si>
    <t>OSKIT-001-020</t>
  </si>
  <si>
    <t>Stationery kit for MEX Airports</t>
  </si>
  <si>
    <t>OSKNF-001-001</t>
  </si>
  <si>
    <t>Snap-Blade Knife 18mm</t>
  </si>
  <si>
    <t>BOS10280</t>
  </si>
  <si>
    <t>OSKNF-001-002</t>
  </si>
  <si>
    <t>Snap-Blade Knife 9mm</t>
  </si>
  <si>
    <t>OSKNF-001-003</t>
  </si>
  <si>
    <t>Snap-Blade Knife</t>
  </si>
  <si>
    <t>OLF5003</t>
  </si>
  <si>
    <t>OSKNF-001-004</t>
  </si>
  <si>
    <t>Snap-Blade Knife- GENERIC</t>
  </si>
  <si>
    <t>OSKNF-001-005</t>
  </si>
  <si>
    <t>Snap-Blade Knife - USA</t>
  </si>
  <si>
    <t>OSKNF-001-006</t>
  </si>
  <si>
    <t>Snap-Blade Knife - MEXICO</t>
  </si>
  <si>
    <t>OSKNF-002-001</t>
  </si>
  <si>
    <t>Snap-Off Blade</t>
  </si>
  <si>
    <t>England</t>
  </si>
  <si>
    <t>OSKNF-002-002</t>
  </si>
  <si>
    <t>OLF5009</t>
  </si>
  <si>
    <t>OSKNF-002-003</t>
  </si>
  <si>
    <t>Snap-Off Blade- GENERIC</t>
  </si>
  <si>
    <t>OSKNF-002-004</t>
  </si>
  <si>
    <t>Snap-Off Blade -MEXICO</t>
  </si>
  <si>
    <t>OSKNF-002-005</t>
  </si>
  <si>
    <t>Snap-Off Blade - USA</t>
  </si>
  <si>
    <t>OSLBL-001-001</t>
  </si>
  <si>
    <t>Self-Adhesive Printer Labels</t>
  </si>
  <si>
    <t>AVE05165</t>
  </si>
  <si>
    <t>OSLBL-001-002</t>
  </si>
  <si>
    <t>Self-Adhesive Printer Labels- GENERIC</t>
  </si>
  <si>
    <t>OSLBL-001-003</t>
  </si>
  <si>
    <t>Avery TrueBlock Laser Shipping Labels</t>
  </si>
  <si>
    <t>OSLBL-001-004</t>
  </si>
  <si>
    <t>Self-Adhesive Printer Labels - MEXICO</t>
  </si>
  <si>
    <t>OSLBL-002-001</t>
  </si>
  <si>
    <t>Self-Adhesive Laser Address Labels 30 (AVERY)</t>
  </si>
  <si>
    <t>OSLBL-002-002</t>
  </si>
  <si>
    <t>Avery Easy Peel Laser/Inkjet Address Labels</t>
  </si>
  <si>
    <t>OSLPR-001-001</t>
  </si>
  <si>
    <t>Label Maker (Dymo LetraTag LT-100H)</t>
  </si>
  <si>
    <t>OSLPR-001-002</t>
  </si>
  <si>
    <t>Label Maker</t>
  </si>
  <si>
    <t>DYM1815990</t>
  </si>
  <si>
    <t>OSLPR-001-003</t>
  </si>
  <si>
    <t>Label Make- GENERIC</t>
  </si>
  <si>
    <t>OSLPR-001-004</t>
  </si>
  <si>
    <t>Dymo LabelManager 280 Portable Label Maker</t>
  </si>
  <si>
    <t>OSLPR-001-005</t>
  </si>
  <si>
    <t>Label Maker - MEXICO</t>
  </si>
  <si>
    <t>OSLPR-002-001</t>
  </si>
  <si>
    <t>Label Maker Tape (Dymo LetraTag 91331)</t>
  </si>
  <si>
    <t>Belgium</t>
  </si>
  <si>
    <t>OSLPR-002-002</t>
  </si>
  <si>
    <t>Label Maker Tape</t>
  </si>
  <si>
    <t>DYM45013</t>
  </si>
  <si>
    <t>OSLPR-002-003</t>
  </si>
  <si>
    <t>Label Maker Tape- GENERIC</t>
  </si>
  <si>
    <t>OSLPR-002-004</t>
  </si>
  <si>
    <t>DYMO D1 Standard 45013 Label Maker Tape</t>
  </si>
  <si>
    <t>OSLPR-002-005</t>
  </si>
  <si>
    <t>Label Maker Tape - MEXICO</t>
  </si>
  <si>
    <t>000013</t>
  </si>
  <si>
    <t>OSLSP-001-001</t>
  </si>
  <si>
    <t>Laminating Pouches, Letter, Pack of 100</t>
  </si>
  <si>
    <t>OSLSP-001-002</t>
  </si>
  <si>
    <t>Laminating Pouches, Letter</t>
  </si>
  <si>
    <t>MMMTP5854100C</t>
  </si>
  <si>
    <t>OSLSP-001-003</t>
  </si>
  <si>
    <t>Laminating Pouches, Letter- GENERIC</t>
  </si>
  <si>
    <t>OSLSP-001-004</t>
  </si>
  <si>
    <t>Staples Thermal Laminating Pouches</t>
  </si>
  <si>
    <t>OSLSP-001-005</t>
  </si>
  <si>
    <t>Laminating Pouches, Letter - MEXICO</t>
  </si>
  <si>
    <t>OSMRK-001-001</t>
  </si>
  <si>
    <t>Permanent Marker (Sharpie)</t>
  </si>
  <si>
    <t>OSMRK-001-002</t>
  </si>
  <si>
    <t>Permanent Marker</t>
  </si>
  <si>
    <t>SAN30665</t>
  </si>
  <si>
    <t>OSMRK-001-003</t>
  </si>
  <si>
    <t>Permanent Marker- GENERIC</t>
  </si>
  <si>
    <t>OSMRK-001-004</t>
  </si>
  <si>
    <t>Sharpie Permanent Marker</t>
  </si>
  <si>
    <t>OSMRK-001-005</t>
  </si>
  <si>
    <t>Permanent Marker - MEXICO</t>
  </si>
  <si>
    <t>OSMRK-002-001</t>
  </si>
  <si>
    <t>Highlighter</t>
  </si>
  <si>
    <t>SAN25164PP</t>
  </si>
  <si>
    <t>OSMRK-002-002</t>
  </si>
  <si>
    <t>Highlighter- GENERIC</t>
  </si>
  <si>
    <t>OSMRK-002-003</t>
  </si>
  <si>
    <t>Sharpie Tank Highlighter</t>
  </si>
  <si>
    <t>OSMRK-002-004</t>
  </si>
  <si>
    <t>Highlighter - MEXICO</t>
  </si>
  <si>
    <t>OSNTB-001-001</t>
  </si>
  <si>
    <t>Notebook</t>
  </si>
  <si>
    <t>TRUTR55197CA</t>
  </si>
  <si>
    <t>OSNTB-001-002</t>
  </si>
  <si>
    <t>Notebook- GENERIC</t>
  </si>
  <si>
    <t>OSNTB-001-003</t>
  </si>
  <si>
    <t>TOPS Classified Colors 1-Subject Notebooks</t>
  </si>
  <si>
    <t>OSNTB-001-004</t>
  </si>
  <si>
    <t>Notebook - MEXICO</t>
  </si>
  <si>
    <t>OSOTP-002-001</t>
  </si>
  <si>
    <t>Transparent Tape, Wide</t>
  </si>
  <si>
    <t>OSOTP-002-002</t>
  </si>
  <si>
    <t>STP35967CA</t>
  </si>
  <si>
    <t>OSOTP-002-003</t>
  </si>
  <si>
    <t>Transparent Tape, Wide- GENERIC</t>
  </si>
  <si>
    <t>OSOTP-002-004</t>
  </si>
  <si>
    <t>Scotch Heavy Duty Shipping Packing Tape</t>
  </si>
  <si>
    <t>OSOTP-002-006</t>
  </si>
  <si>
    <t>Transparent Tape, Wide - MEXICO</t>
  </si>
  <si>
    <t>OSOTP-003-001</t>
  </si>
  <si>
    <t>Tape, Double - Sided, Foam (Scotch)</t>
  </si>
  <si>
    <t>OSOTP-003-002</t>
  </si>
  <si>
    <t>Tape Double-Sided Foam</t>
  </si>
  <si>
    <t>MMM214DCSFEF</t>
  </si>
  <si>
    <t>OSOTP-003-003</t>
  </si>
  <si>
    <t>Tape Double-Sided Foam- GENERIC</t>
  </si>
  <si>
    <t>OSOTP-003-004</t>
  </si>
  <si>
    <t>Scotch Indoor Foam Double-Sided Mounting Tape</t>
  </si>
  <si>
    <t>OSOTP-003-005</t>
  </si>
  <si>
    <t>Tape Double-Sided Foam - MEXICO</t>
  </si>
  <si>
    <t>0002341</t>
  </si>
  <si>
    <t>OSOTP-004-001</t>
  </si>
  <si>
    <t>Masking Tape</t>
  </si>
  <si>
    <t>OSOTP-004-002</t>
  </si>
  <si>
    <t>MMM230748X55</t>
  </si>
  <si>
    <t>OSOTP-004-003</t>
  </si>
  <si>
    <t>Masking Tape- GENERIC</t>
  </si>
  <si>
    <t>OSOTP-004-004</t>
  </si>
  <si>
    <t>Staples Masking Tape</t>
  </si>
  <si>
    <t>OSOTP-004-005</t>
  </si>
  <si>
    <t>Masking Tape - MEXICO</t>
  </si>
  <si>
    <t>OSOTP-005-001</t>
  </si>
  <si>
    <t>Duct Tape</t>
  </si>
  <si>
    <t>OSOTP-005-002</t>
  </si>
  <si>
    <t>SZZ203674</t>
  </si>
  <si>
    <t>OSOTP-005-003</t>
  </si>
  <si>
    <t>Duct Tape- GENERIC</t>
  </si>
  <si>
    <t>OSOTP-005-004</t>
  </si>
  <si>
    <t>Duck Heavy Duty Duct Tape</t>
  </si>
  <si>
    <t>OSOTP-005-005</t>
  </si>
  <si>
    <t>Duct Tape - MEXICO</t>
  </si>
  <si>
    <t>OSOTP-007-001</t>
  </si>
  <si>
    <t>Sticky Notes</t>
  </si>
  <si>
    <t>Pad</t>
  </si>
  <si>
    <t>MMM654YW</t>
  </si>
  <si>
    <t>OSOTP-007-002</t>
  </si>
  <si>
    <t>Sticky Notes- GENERIC</t>
  </si>
  <si>
    <t>OSOTP-007-003</t>
  </si>
  <si>
    <t>Post-it Notes</t>
  </si>
  <si>
    <t>OSOTP-007-005</t>
  </si>
  <si>
    <t>Sticky Notes - MEXICO</t>
  </si>
  <si>
    <t>OSPAD-001-001</t>
  </si>
  <si>
    <t>Easel Pad, Pack of 2 (Post-It)</t>
  </si>
  <si>
    <t>OSPAD-001-002</t>
  </si>
  <si>
    <t>Easel Pad- GENERIC</t>
  </si>
  <si>
    <t>OSPAD-001-003</t>
  </si>
  <si>
    <t>Post-it Super Sticky Easel Pad</t>
  </si>
  <si>
    <t>OSPAD-001-004</t>
  </si>
  <si>
    <t>Easel Pad - CANADA</t>
  </si>
  <si>
    <t>MMM561WLVAD2PK</t>
  </si>
  <si>
    <t>OSPAD-001-005</t>
  </si>
  <si>
    <t>Easel Pad - MEXICO</t>
  </si>
  <si>
    <t>OSPAP-001-001</t>
  </si>
  <si>
    <t>Copy Paper, Letter, 1 Ream, (TRU RED)</t>
  </si>
  <si>
    <t>Ream</t>
  </si>
  <si>
    <t>OSPAP-001-002</t>
  </si>
  <si>
    <t>Copy Paper, Letter, 1  ream</t>
  </si>
  <si>
    <t>STP15332</t>
  </si>
  <si>
    <t>OSPAP-001-003</t>
  </si>
  <si>
    <t>Copy Paper, Letter, 1 ream- GENERIC</t>
  </si>
  <si>
    <t>OSPAP-001-004</t>
  </si>
  <si>
    <t>TRU RED™ 8.5" x 11" Copy Paper</t>
  </si>
  <si>
    <t>OSPAP-001-005</t>
  </si>
  <si>
    <t>Copy Paper, Letter, 1 ream</t>
  </si>
  <si>
    <t>OSPAP-002-001</t>
  </si>
  <si>
    <t>Copy Paper, Tabloid/Ledger, 1 Ream (Staples)</t>
  </si>
  <si>
    <t>OSPAP-002-002</t>
  </si>
  <si>
    <t>Copy Paper, Tabloid/Ledger, 1  ream</t>
  </si>
  <si>
    <t>STP17030</t>
  </si>
  <si>
    <t>OSPAP-002-003</t>
  </si>
  <si>
    <t>Copy Paper, Tabloid/Ledger, 1 ream- GENERIC</t>
  </si>
  <si>
    <t>OSPAP-002-004</t>
  </si>
  <si>
    <t>Staples 11" x 17" Copy Paper</t>
  </si>
  <si>
    <t>OSPAP-002-005</t>
  </si>
  <si>
    <t>Copy Paper, Tabloid/Ledger, 1 ream - MEXICO</t>
  </si>
  <si>
    <t>OSRUL-001-001</t>
  </si>
  <si>
    <t>Ruler</t>
  </si>
  <si>
    <t>STP16554</t>
  </si>
  <si>
    <t>OSRUL-001-002</t>
  </si>
  <si>
    <t>Ruler- GENERIC</t>
  </si>
  <si>
    <t>OSRUL-001-003</t>
  </si>
  <si>
    <t>Staples 12" Acrylic Standard Imperial/Metric Scales Ruler</t>
  </si>
  <si>
    <t>OSRUL-001-004</t>
  </si>
  <si>
    <t>Ruler - MEXICO</t>
  </si>
  <si>
    <t>OSSCI-001-001</t>
  </si>
  <si>
    <t>Scissors</t>
  </si>
  <si>
    <t>OSSCI-001-002</t>
  </si>
  <si>
    <t>ACM02208</t>
  </si>
  <si>
    <t>OSSCI-001-003</t>
  </si>
  <si>
    <t>Scissors- GENERIC</t>
  </si>
  <si>
    <t>OSSCI-001-004</t>
  </si>
  <si>
    <t>Blue Westcott All Purpose Preferred 8" Stainless Steel Standard Scissors</t>
  </si>
  <si>
    <t>OSSCI-001-005</t>
  </si>
  <si>
    <t>Scissors - MEXICO</t>
  </si>
  <si>
    <t>OSSTP-001-001</t>
  </si>
  <si>
    <t>Stapler (Swingline)</t>
  </si>
  <si>
    <t>OSSTP-001-002</t>
  </si>
  <si>
    <t>Stapler</t>
  </si>
  <si>
    <t>SWI54562</t>
  </si>
  <si>
    <t>OSSTP-001-003</t>
  </si>
  <si>
    <t>Stapler- GENERIC</t>
  </si>
  <si>
    <t>OSSTP-001-004</t>
  </si>
  <si>
    <t>Swingline Desktop Stapler</t>
  </si>
  <si>
    <t>OSSTP-001-005</t>
  </si>
  <si>
    <t>Stapler - MEXICO</t>
  </si>
  <si>
    <t>OSSTP-002-001</t>
  </si>
  <si>
    <t>Staples 1/4, Box of 5000 (Staples)</t>
  </si>
  <si>
    <t>OSSTP-002-002</t>
  </si>
  <si>
    <t>Staples 1/4</t>
  </si>
  <si>
    <t>SWI35108</t>
  </si>
  <si>
    <t>OSSTP-002-003</t>
  </si>
  <si>
    <t>Staples 1/4- GENERIC</t>
  </si>
  <si>
    <t>OSSTP-002-004</t>
  </si>
  <si>
    <t>Staples Premium Staples</t>
  </si>
  <si>
    <t>OSSTP-002-005</t>
  </si>
  <si>
    <t>Staples 1/4 - MEXICO</t>
  </si>
  <si>
    <t>OSWSP-001-001</t>
  </si>
  <si>
    <t>Ballpen, Box of 12 (Staples)</t>
  </si>
  <si>
    <t>OSWSP-001-002</t>
  </si>
  <si>
    <t>Ballpen</t>
  </si>
  <si>
    <t>STP18837BX</t>
  </si>
  <si>
    <t>OSWSP-001-003</t>
  </si>
  <si>
    <t>Ballpen- GENERIC</t>
  </si>
  <si>
    <t>OSWSP-001-004</t>
  </si>
  <si>
    <t>Staples® Retractable Ballpoint Pens</t>
  </si>
  <si>
    <t>OSWSP-001-006</t>
  </si>
  <si>
    <t>Ballpen - MEXICO</t>
  </si>
  <si>
    <t>OSWSP-002-001</t>
  </si>
  <si>
    <t>Pencil</t>
  </si>
  <si>
    <t>STPX603283</t>
  </si>
  <si>
    <t>OSWSP-002-002</t>
  </si>
  <si>
    <t>Pencil- GENERIC</t>
  </si>
  <si>
    <t>OSWSP-002-003</t>
  </si>
  <si>
    <t>Staples Pre-Sharpened Wooden Pencil</t>
  </si>
  <si>
    <t>OSWSP-002-004</t>
  </si>
  <si>
    <t>Pencil - MEXICO</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</si>
</sst>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G654"/>
  <sheetViews>
    <sheetView tabSelected="1" workbookViewId="0" showGridLines="true" showRowColHeaders="1">
      <selection activeCell="A1" sqref="A1"/>
    </sheetView>
  </sheetViews>
  <sheetFormatPr defaultRowHeight="14.4" outlineLevelRow="0" outlineLevelCol="0"/>
  <sheetData>
    <row r="1" spans="1:3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c r="A2" t="s">
        <v>33</v>
      </c>
      <c r="B2" t="s">
        <v>34</v>
      </c>
      <c r="C2" t="s">
        <v>35</v>
      </c>
      <c r="D2" t="s">
        <v>36</v>
      </c>
      <c r="E2" t="s">
        <v>37</v>
      </c>
      <c r="F2" t="s">
        <v>37</v>
      </c>
      <c r="G2" t="s">
        <v>37</v>
      </c>
      <c r="H2">
        <v>1</v>
      </c>
      <c r="I2">
        <v>60</v>
      </c>
      <c r="J2" t="s">
        <v>38</v>
      </c>
      <c r="M2">
        <v>34</v>
      </c>
      <c r="N2" t="s">
        <v>39</v>
      </c>
      <c r="O2" t="s">
        <v>40</v>
      </c>
      <c r="W2">
        <v>0.0</v>
      </c>
      <c r="X2">
        <v>0.0</v>
      </c>
      <c r="Y2">
        <v>0.0</v>
      </c>
      <c r="Z2">
        <v>0.0</v>
      </c>
      <c r="AA2">
        <v>0.0</v>
      </c>
      <c r="AB2">
        <v>0.0</v>
      </c>
      <c r="AC2">
        <v>0.0</v>
      </c>
      <c r="AD2">
        <v>0.0</v>
      </c>
    </row>
    <row r="3" spans="1:33">
      <c r="A3" t="s">
        <v>41</v>
      </c>
      <c r="B3" t="s">
        <v>42</v>
      </c>
      <c r="C3" t="s">
        <v>35</v>
      </c>
      <c r="D3" t="s">
        <v>36</v>
      </c>
      <c r="E3" t="s">
        <v>37</v>
      </c>
      <c r="F3" t="s">
        <v>37</v>
      </c>
      <c r="G3" t="s">
        <v>37</v>
      </c>
      <c r="J3" t="s">
        <v>43</v>
      </c>
      <c r="K3">
        <v>337196100</v>
      </c>
      <c r="L3" t="s">
        <v>44</v>
      </c>
      <c r="M3">
        <v>40</v>
      </c>
      <c r="O3" t="s">
        <v>45</v>
      </c>
      <c r="P3" t="s">
        <v>46</v>
      </c>
      <c r="Q3" t="s">
        <v>47</v>
      </c>
      <c r="R3" t="s">
        <v>48</v>
      </c>
      <c r="S3">
        <v>48</v>
      </c>
      <c r="T3">
        <v>1</v>
      </c>
      <c r="U3">
        <v>48</v>
      </c>
      <c r="V3">
        <v>1</v>
      </c>
      <c r="W3">
        <v>0.0</v>
      </c>
      <c r="X3">
        <v>0.0</v>
      </c>
      <c r="Y3">
        <v>0.0</v>
      </c>
      <c r="Z3">
        <v>0.0</v>
      </c>
      <c r="AA3">
        <v>0.0</v>
      </c>
      <c r="AB3">
        <v>0.0</v>
      </c>
      <c r="AC3">
        <v>0.0</v>
      </c>
      <c r="AD3">
        <v>0.0</v>
      </c>
      <c r="AG3" t="str">
        <f>HYPERLINK("https://fwc26.smmarta.com/nomenclature/952/images-download", "Download")</f>
        <v>0</v>
      </c>
    </row>
    <row r="4" spans="1:33">
      <c r="A4" t="s">
        <v>49</v>
      </c>
      <c r="B4" t="s">
        <v>50</v>
      </c>
      <c r="C4" t="s">
        <v>35</v>
      </c>
      <c r="D4" t="s">
        <v>36</v>
      </c>
      <c r="E4" t="s">
        <v>37</v>
      </c>
      <c r="F4" t="s">
        <v>37</v>
      </c>
      <c r="G4" t="s">
        <v>37</v>
      </c>
      <c r="J4" t="s">
        <v>51</v>
      </c>
      <c r="K4">
        <v>24548931</v>
      </c>
      <c r="M4">
        <v>37.5</v>
      </c>
    </row>
    <row r="5" spans="1:33">
      <c r="A5" t="s">
        <v>52</v>
      </c>
      <c r="B5" t="s">
        <v>53</v>
      </c>
      <c r="C5" t="s">
        <v>35</v>
      </c>
      <c r="D5" t="s">
        <v>36</v>
      </c>
      <c r="E5" t="s">
        <v>37</v>
      </c>
      <c r="F5" t="s">
        <v>37</v>
      </c>
      <c r="G5" t="s">
        <v>37</v>
      </c>
      <c r="H5">
        <v>1</v>
      </c>
      <c r="I5">
        <v>57</v>
      </c>
      <c r="J5" t="s">
        <v>38</v>
      </c>
      <c r="M5">
        <v>27</v>
      </c>
      <c r="N5" t="s">
        <v>39</v>
      </c>
      <c r="W5">
        <v>0.0</v>
      </c>
      <c r="X5">
        <v>0.0</v>
      </c>
      <c r="Y5">
        <v>0.0</v>
      </c>
      <c r="Z5">
        <v>0.0</v>
      </c>
      <c r="AA5">
        <v>0.0</v>
      </c>
      <c r="AB5">
        <v>0.0</v>
      </c>
      <c r="AC5">
        <v>0.0</v>
      </c>
      <c r="AD5">
        <v>0.0</v>
      </c>
    </row>
    <row r="6" spans="1:33">
      <c r="A6" t="s">
        <v>54</v>
      </c>
      <c r="B6" t="s">
        <v>55</v>
      </c>
      <c r="C6" t="s">
        <v>35</v>
      </c>
      <c r="D6" t="s">
        <v>36</v>
      </c>
      <c r="E6" t="s">
        <v>37</v>
      </c>
      <c r="F6" t="s">
        <v>37</v>
      </c>
      <c r="G6" t="s">
        <v>37</v>
      </c>
      <c r="J6" t="s">
        <v>43</v>
      </c>
      <c r="K6">
        <v>316448127</v>
      </c>
      <c r="L6" t="s">
        <v>56</v>
      </c>
      <c r="M6">
        <v>19.51</v>
      </c>
      <c r="O6" t="s">
        <v>57</v>
      </c>
      <c r="P6" t="s">
        <v>46</v>
      </c>
      <c r="Q6">
        <v>8516.79</v>
      </c>
      <c r="R6" t="s">
        <v>48</v>
      </c>
      <c r="S6">
        <v>180</v>
      </c>
      <c r="T6">
        <v>1</v>
      </c>
      <c r="U6">
        <v>180</v>
      </c>
      <c r="V6">
        <v>1</v>
      </c>
      <c r="W6">
        <v>0.0</v>
      </c>
      <c r="X6">
        <v>0.0</v>
      </c>
      <c r="Y6">
        <v>0.0</v>
      </c>
      <c r="Z6">
        <v>0.0</v>
      </c>
      <c r="AA6">
        <v>0.0</v>
      </c>
      <c r="AB6">
        <v>0.0</v>
      </c>
      <c r="AC6">
        <v>0.0</v>
      </c>
      <c r="AD6">
        <v>0.0</v>
      </c>
      <c r="AG6" t="str">
        <f>HYPERLINK("https://fwc26.smmarta.com/nomenclature/967/images-download", "Download")</f>
        <v>0</v>
      </c>
    </row>
    <row r="7" spans="1:33">
      <c r="A7" t="s">
        <v>58</v>
      </c>
      <c r="B7" t="s">
        <v>59</v>
      </c>
      <c r="C7" t="s">
        <v>35</v>
      </c>
      <c r="D7" t="s">
        <v>36</v>
      </c>
      <c r="E7" t="s">
        <v>37</v>
      </c>
      <c r="F7" t="s">
        <v>37</v>
      </c>
      <c r="G7" t="s">
        <v>37</v>
      </c>
      <c r="J7" t="s">
        <v>51</v>
      </c>
      <c r="K7">
        <v>24622379</v>
      </c>
      <c r="M7">
        <v>24.99</v>
      </c>
    </row>
    <row r="8" spans="1:33">
      <c r="A8" t="s">
        <v>60</v>
      </c>
      <c r="B8" t="s">
        <v>61</v>
      </c>
      <c r="C8" t="s">
        <v>35</v>
      </c>
      <c r="D8" t="s">
        <v>36</v>
      </c>
      <c r="E8" t="s">
        <v>37</v>
      </c>
      <c r="F8" t="s">
        <v>37</v>
      </c>
      <c r="G8" t="s">
        <v>37</v>
      </c>
      <c r="H8">
        <v>1</v>
      </c>
      <c r="J8" t="s">
        <v>62</v>
      </c>
      <c r="M8">
        <v>24</v>
      </c>
      <c r="P8" t="s">
        <v>63</v>
      </c>
      <c r="R8" t="s">
        <v>48</v>
      </c>
      <c r="S8">
        <v>225</v>
      </c>
      <c r="T8">
        <v>1</v>
      </c>
      <c r="U8">
        <v>225</v>
      </c>
      <c r="V8">
        <v>1</v>
      </c>
      <c r="W8">
        <v>0.0</v>
      </c>
      <c r="X8">
        <v>0.0</v>
      </c>
      <c r="Y8">
        <v>0.0</v>
      </c>
      <c r="Z8">
        <v>0.0</v>
      </c>
      <c r="AA8">
        <v>0.0</v>
      </c>
      <c r="AB8">
        <v>0.0</v>
      </c>
      <c r="AC8">
        <v>0.0</v>
      </c>
      <c r="AD8">
        <v>0.0</v>
      </c>
      <c r="AG8" t="str">
        <f>HYPERLINK("https://fwc26.smmarta.com/nomenclature/569/images-download", "Download")</f>
        <v>0</v>
      </c>
    </row>
    <row r="9" spans="1:33">
      <c r="A9" t="s">
        <v>64</v>
      </c>
      <c r="B9" t="s">
        <v>65</v>
      </c>
      <c r="C9" t="s">
        <v>35</v>
      </c>
      <c r="D9" t="s">
        <v>36</v>
      </c>
      <c r="E9" t="s">
        <v>37</v>
      </c>
      <c r="F9" t="s">
        <v>37</v>
      </c>
      <c r="G9" t="s">
        <v>37</v>
      </c>
      <c r="J9" t="s">
        <v>43</v>
      </c>
      <c r="K9">
        <v>335059631</v>
      </c>
      <c r="L9" t="s">
        <v>66</v>
      </c>
      <c r="M9">
        <v>24</v>
      </c>
      <c r="O9" t="s">
        <v>67</v>
      </c>
      <c r="P9" t="s">
        <v>46</v>
      </c>
      <c r="Q9">
        <v>9405.2</v>
      </c>
      <c r="R9" t="s">
        <v>48</v>
      </c>
      <c r="W9">
        <v>0.0</v>
      </c>
      <c r="X9">
        <v>0.0</v>
      </c>
      <c r="Y9">
        <v>0.0</v>
      </c>
      <c r="Z9">
        <v>0.0</v>
      </c>
      <c r="AA9">
        <v>0.0</v>
      </c>
      <c r="AB9">
        <v>0.0</v>
      </c>
      <c r="AC9">
        <v>0.0</v>
      </c>
      <c r="AD9">
        <v>0.0</v>
      </c>
      <c r="AG9" t="str">
        <f>HYPERLINK("https://fwc26.smmarta.com/nomenclature/743/images-download", "Download")</f>
        <v>0</v>
      </c>
    </row>
    <row r="10" spans="1:33">
      <c r="A10" t="s">
        <v>68</v>
      </c>
      <c r="B10" t="s">
        <v>69</v>
      </c>
      <c r="C10" t="s">
        <v>35</v>
      </c>
      <c r="D10" t="s">
        <v>36</v>
      </c>
      <c r="E10" t="s">
        <v>37</v>
      </c>
      <c r="F10" t="s">
        <v>37</v>
      </c>
      <c r="G10" t="s">
        <v>37</v>
      </c>
      <c r="J10" t="s">
        <v>51</v>
      </c>
      <c r="K10">
        <v>24462234</v>
      </c>
      <c r="M10">
        <v>47.69</v>
      </c>
    </row>
    <row r="11" spans="1:33">
      <c r="A11" t="s">
        <v>70</v>
      </c>
      <c r="B11" t="s">
        <v>71</v>
      </c>
      <c r="C11" t="s">
        <v>35</v>
      </c>
      <c r="D11" t="s">
        <v>36</v>
      </c>
      <c r="E11" t="s">
        <v>37</v>
      </c>
      <c r="F11" t="s">
        <v>37</v>
      </c>
      <c r="G11" t="s">
        <v>37</v>
      </c>
      <c r="J11" t="s">
        <v>72</v>
      </c>
      <c r="K11" t="s">
        <v>73</v>
      </c>
      <c r="M11">
        <v>16.14</v>
      </c>
    </row>
    <row r="12" spans="1:33">
      <c r="A12" t="s">
        <v>74</v>
      </c>
      <c r="B12" t="s">
        <v>75</v>
      </c>
      <c r="C12" t="s">
        <v>35</v>
      </c>
      <c r="D12" t="s">
        <v>36</v>
      </c>
      <c r="E12" t="s">
        <v>37</v>
      </c>
      <c r="F12" t="s">
        <v>37</v>
      </c>
      <c r="G12" t="s">
        <v>37</v>
      </c>
      <c r="J12" t="s">
        <v>76</v>
      </c>
      <c r="M12">
        <v>34.91</v>
      </c>
    </row>
    <row r="13" spans="1:33">
      <c r="A13" t="s">
        <v>77</v>
      </c>
      <c r="B13" t="s">
        <v>78</v>
      </c>
      <c r="C13" t="s">
        <v>35</v>
      </c>
      <c r="D13" t="s">
        <v>36</v>
      </c>
      <c r="E13" t="s">
        <v>37</v>
      </c>
      <c r="F13" t="s">
        <v>37</v>
      </c>
      <c r="G13" t="s">
        <v>37</v>
      </c>
      <c r="H13">
        <v>1</v>
      </c>
      <c r="J13" t="s">
        <v>62</v>
      </c>
      <c r="L13" t="s">
        <v>79</v>
      </c>
      <c r="M13">
        <v>140</v>
      </c>
      <c r="P13" t="s">
        <v>46</v>
      </c>
      <c r="Q13" t="s">
        <v>80</v>
      </c>
      <c r="R13" t="s">
        <v>48</v>
      </c>
      <c r="S13">
        <v>26</v>
      </c>
      <c r="T13">
        <v>1</v>
      </c>
      <c r="U13">
        <v>26</v>
      </c>
      <c r="V13">
        <v>1</v>
      </c>
      <c r="W13">
        <v>0.0</v>
      </c>
      <c r="X13">
        <v>0.0</v>
      </c>
      <c r="Y13">
        <v>0.0</v>
      </c>
      <c r="Z13">
        <v>0.0</v>
      </c>
      <c r="AA13">
        <v>0.0</v>
      </c>
      <c r="AB13">
        <v>0.0</v>
      </c>
      <c r="AC13">
        <v>0.0</v>
      </c>
      <c r="AD13">
        <v>0.0</v>
      </c>
      <c r="AG13" t="str">
        <f>HYPERLINK("https://fwc26.smmarta.com/nomenclature/570/images-download", "Download")</f>
        <v>0</v>
      </c>
    </row>
    <row r="14" spans="1:33">
      <c r="A14" t="s">
        <v>81</v>
      </c>
      <c r="B14" t="s">
        <v>82</v>
      </c>
      <c r="C14" t="s">
        <v>35</v>
      </c>
      <c r="D14" t="s">
        <v>36</v>
      </c>
      <c r="E14" t="s">
        <v>37</v>
      </c>
      <c r="F14" t="s">
        <v>37</v>
      </c>
      <c r="G14" t="s">
        <v>37</v>
      </c>
      <c r="J14" t="s">
        <v>43</v>
      </c>
      <c r="K14">
        <v>315420259</v>
      </c>
      <c r="L14" t="s">
        <v>83</v>
      </c>
      <c r="M14">
        <v>38.3</v>
      </c>
      <c r="O14" t="s">
        <v>84</v>
      </c>
      <c r="P14" t="s">
        <v>46</v>
      </c>
      <c r="Q14">
        <v>9405.42</v>
      </c>
      <c r="R14" t="s">
        <v>48</v>
      </c>
      <c r="W14">
        <v>0.0</v>
      </c>
      <c r="X14">
        <v>0.0</v>
      </c>
      <c r="Y14">
        <v>0.0</v>
      </c>
      <c r="Z14">
        <v>0.0</v>
      </c>
      <c r="AA14">
        <v>0.0</v>
      </c>
      <c r="AB14">
        <v>0.0</v>
      </c>
      <c r="AC14">
        <v>0.0</v>
      </c>
      <c r="AD14">
        <v>0.0</v>
      </c>
      <c r="AG14" t="str">
        <f>HYPERLINK("https://fwc26.smmarta.com/nomenclature/762/images-download", "Download")</f>
        <v>0</v>
      </c>
    </row>
    <row r="15" spans="1:33">
      <c r="A15" t="s">
        <v>85</v>
      </c>
      <c r="B15" t="s">
        <v>86</v>
      </c>
      <c r="C15" t="s">
        <v>35</v>
      </c>
      <c r="D15" t="s">
        <v>36</v>
      </c>
      <c r="E15" t="s">
        <v>37</v>
      </c>
      <c r="F15" t="s">
        <v>37</v>
      </c>
      <c r="G15" t="s">
        <v>37</v>
      </c>
      <c r="H15">
        <v>1</v>
      </c>
      <c r="J15" t="s">
        <v>62</v>
      </c>
      <c r="K15">
        <v>936753</v>
      </c>
      <c r="M15">
        <v>112.64</v>
      </c>
      <c r="P15" t="s">
        <v>87</v>
      </c>
      <c r="R15" t="s">
        <v>48</v>
      </c>
      <c r="W15">
        <v>0.0</v>
      </c>
      <c r="X15">
        <v>0.0</v>
      </c>
      <c r="Y15">
        <v>0.0</v>
      </c>
      <c r="Z15">
        <v>0.0</v>
      </c>
      <c r="AA15">
        <v>0.0</v>
      </c>
      <c r="AB15">
        <v>0.0</v>
      </c>
      <c r="AC15">
        <v>0.0</v>
      </c>
      <c r="AD15">
        <v>0.0</v>
      </c>
    </row>
    <row r="16" spans="1:33">
      <c r="A16" t="s">
        <v>88</v>
      </c>
      <c r="B16" t="s">
        <v>89</v>
      </c>
      <c r="C16" t="s">
        <v>35</v>
      </c>
      <c r="D16" t="s">
        <v>36</v>
      </c>
      <c r="E16" t="s">
        <v>37</v>
      </c>
      <c r="F16" t="s">
        <v>37</v>
      </c>
      <c r="G16" t="s">
        <v>37</v>
      </c>
      <c r="H16">
        <v>1</v>
      </c>
      <c r="I16">
        <v>57</v>
      </c>
      <c r="J16" t="s">
        <v>38</v>
      </c>
      <c r="M16">
        <v>87</v>
      </c>
      <c r="N16" t="s">
        <v>39</v>
      </c>
      <c r="W16">
        <v>0.0</v>
      </c>
      <c r="X16">
        <v>0.0</v>
      </c>
      <c r="Y16">
        <v>0.0</v>
      </c>
      <c r="Z16">
        <v>0.0</v>
      </c>
      <c r="AA16">
        <v>0.0</v>
      </c>
      <c r="AB16">
        <v>0.0</v>
      </c>
      <c r="AC16">
        <v>0.0</v>
      </c>
      <c r="AD16">
        <v>0.0</v>
      </c>
    </row>
    <row r="17" spans="1:33">
      <c r="A17" t="s">
        <v>90</v>
      </c>
      <c r="B17" t="s">
        <v>91</v>
      </c>
      <c r="C17" t="s">
        <v>35</v>
      </c>
      <c r="D17" t="s">
        <v>36</v>
      </c>
      <c r="E17" t="s">
        <v>37</v>
      </c>
      <c r="F17" t="s">
        <v>37</v>
      </c>
      <c r="G17" t="s">
        <v>37</v>
      </c>
      <c r="J17" t="s">
        <v>43</v>
      </c>
      <c r="K17">
        <v>308544643</v>
      </c>
      <c r="L17" t="s">
        <v>92</v>
      </c>
      <c r="M17">
        <v>71.99</v>
      </c>
      <c r="O17" t="s">
        <v>93</v>
      </c>
      <c r="P17" t="s">
        <v>46</v>
      </c>
      <c r="Q17">
        <v>8516.5</v>
      </c>
      <c r="R17" t="s">
        <v>48</v>
      </c>
      <c r="S17">
        <v>24</v>
      </c>
      <c r="T17">
        <v>1</v>
      </c>
      <c r="U17">
        <v>24</v>
      </c>
      <c r="V17">
        <v>1</v>
      </c>
      <c r="W17">
        <v>0.0</v>
      </c>
      <c r="X17">
        <v>0.0</v>
      </c>
      <c r="Y17">
        <v>0.0</v>
      </c>
      <c r="Z17">
        <v>0.0</v>
      </c>
      <c r="AA17">
        <v>0.0</v>
      </c>
      <c r="AB17">
        <v>0.0</v>
      </c>
      <c r="AC17">
        <v>0.0</v>
      </c>
      <c r="AD17">
        <v>0.0</v>
      </c>
      <c r="AG17" t="str">
        <f>HYPERLINK("https://fwc26.smmarta.com/nomenclature/968/images-download", "Download")</f>
        <v>0</v>
      </c>
    </row>
    <row r="18" spans="1:33">
      <c r="A18" t="s">
        <v>94</v>
      </c>
      <c r="B18" t="s">
        <v>95</v>
      </c>
      <c r="C18" t="s">
        <v>35</v>
      </c>
      <c r="D18" t="s">
        <v>36</v>
      </c>
      <c r="E18" t="s">
        <v>37</v>
      </c>
      <c r="F18" t="s">
        <v>37</v>
      </c>
      <c r="G18" t="s">
        <v>37</v>
      </c>
      <c r="J18" t="s">
        <v>51</v>
      </c>
      <c r="K18">
        <v>936753</v>
      </c>
      <c r="M18">
        <v>112.64</v>
      </c>
    </row>
    <row r="19" spans="1:33">
      <c r="A19" t="s">
        <v>96</v>
      </c>
      <c r="B19" t="s">
        <v>97</v>
      </c>
      <c r="C19" t="s">
        <v>35</v>
      </c>
      <c r="D19" t="s">
        <v>36</v>
      </c>
      <c r="E19" t="s">
        <v>37</v>
      </c>
      <c r="F19" t="s">
        <v>37</v>
      </c>
      <c r="G19" t="s">
        <v>37</v>
      </c>
      <c r="H19">
        <v>1</v>
      </c>
      <c r="J19" t="s">
        <v>62</v>
      </c>
      <c r="K19">
        <v>934518</v>
      </c>
      <c r="M19">
        <v>199</v>
      </c>
      <c r="P19" t="s">
        <v>87</v>
      </c>
      <c r="R19" t="s">
        <v>48</v>
      </c>
      <c r="W19">
        <v>0.0</v>
      </c>
      <c r="X19">
        <v>0.0</v>
      </c>
      <c r="Y19">
        <v>0.0</v>
      </c>
      <c r="Z19">
        <v>0.0</v>
      </c>
      <c r="AA19">
        <v>0.0</v>
      </c>
      <c r="AB19">
        <v>0.0</v>
      </c>
      <c r="AC19">
        <v>0.0</v>
      </c>
      <c r="AD19">
        <v>0.0</v>
      </c>
    </row>
    <row r="20" spans="1:33">
      <c r="A20" t="s">
        <v>98</v>
      </c>
      <c r="B20" t="s">
        <v>99</v>
      </c>
      <c r="C20" t="s">
        <v>35</v>
      </c>
      <c r="D20" t="s">
        <v>36</v>
      </c>
      <c r="E20" t="s">
        <v>37</v>
      </c>
      <c r="F20" t="s">
        <v>37</v>
      </c>
      <c r="G20" t="s">
        <v>37</v>
      </c>
      <c r="H20">
        <v>1</v>
      </c>
      <c r="I20">
        <v>51</v>
      </c>
      <c r="J20" t="s">
        <v>38</v>
      </c>
      <c r="M20">
        <v>224</v>
      </c>
      <c r="N20" t="s">
        <v>39</v>
      </c>
      <c r="W20">
        <v>21.75</v>
      </c>
      <c r="X20">
        <v>20.0</v>
      </c>
      <c r="Y20">
        <v>32.88</v>
      </c>
      <c r="Z20">
        <v>0.0</v>
      </c>
      <c r="AA20">
        <v>0.0</v>
      </c>
      <c r="AB20">
        <v>0.0</v>
      </c>
      <c r="AC20">
        <v>0.0</v>
      </c>
      <c r="AD20">
        <v>0.0</v>
      </c>
    </row>
    <row r="21" spans="1:33">
      <c r="A21" t="s">
        <v>100</v>
      </c>
      <c r="B21" t="s">
        <v>101</v>
      </c>
      <c r="C21" t="s">
        <v>35</v>
      </c>
      <c r="D21" t="s">
        <v>36</v>
      </c>
      <c r="E21" t="s">
        <v>37</v>
      </c>
      <c r="F21" t="s">
        <v>37</v>
      </c>
      <c r="G21" t="s">
        <v>37</v>
      </c>
      <c r="J21" t="s">
        <v>43</v>
      </c>
      <c r="K21">
        <v>325110238</v>
      </c>
      <c r="L21" t="s">
        <v>102</v>
      </c>
      <c r="M21">
        <v>158</v>
      </c>
      <c r="O21" t="s">
        <v>103</v>
      </c>
      <c r="P21" t="s">
        <v>46</v>
      </c>
      <c r="Q21">
        <v>8418.21</v>
      </c>
      <c r="R21" t="s">
        <v>48</v>
      </c>
      <c r="S21">
        <v>8</v>
      </c>
      <c r="T21">
        <v>1</v>
      </c>
      <c r="U21">
        <v>8</v>
      </c>
      <c r="V21">
        <v>1</v>
      </c>
      <c r="W21">
        <v>0.0</v>
      </c>
      <c r="X21">
        <v>0.0</v>
      </c>
      <c r="Y21">
        <v>0.0</v>
      </c>
      <c r="Z21">
        <v>0.0</v>
      </c>
      <c r="AA21">
        <v>0.0</v>
      </c>
      <c r="AB21">
        <v>0.0</v>
      </c>
      <c r="AC21">
        <v>0.0</v>
      </c>
      <c r="AD21">
        <v>0.0</v>
      </c>
      <c r="AG21" t="str">
        <f>HYPERLINK("https://fwc26.smmarta.com/nomenclature/969/images-download", "Download")</f>
        <v>0</v>
      </c>
    </row>
    <row r="22" spans="1:33">
      <c r="A22" t="s">
        <v>104</v>
      </c>
      <c r="B22" t="s">
        <v>105</v>
      </c>
      <c r="C22" t="s">
        <v>35</v>
      </c>
      <c r="D22" t="s">
        <v>36</v>
      </c>
      <c r="E22" t="s">
        <v>37</v>
      </c>
      <c r="F22" t="s">
        <v>37</v>
      </c>
      <c r="G22" t="s">
        <v>37</v>
      </c>
      <c r="J22" t="s">
        <v>51</v>
      </c>
      <c r="K22">
        <v>934518</v>
      </c>
      <c r="M22">
        <v>199</v>
      </c>
    </row>
    <row r="23" spans="1:33">
      <c r="A23" t="s">
        <v>106</v>
      </c>
      <c r="B23" t="s">
        <v>107</v>
      </c>
      <c r="C23" t="s">
        <v>35</v>
      </c>
      <c r="D23" t="s">
        <v>36</v>
      </c>
      <c r="E23" t="s">
        <v>37</v>
      </c>
      <c r="F23" t="s">
        <v>37</v>
      </c>
      <c r="G23" t="s">
        <v>37</v>
      </c>
      <c r="H23">
        <v>1</v>
      </c>
      <c r="J23" t="s">
        <v>62</v>
      </c>
      <c r="K23">
        <v>24592478</v>
      </c>
      <c r="L23" t="s">
        <v>108</v>
      </c>
      <c r="M23">
        <v>148.99</v>
      </c>
      <c r="P23" t="s">
        <v>87</v>
      </c>
      <c r="R23" t="s">
        <v>48</v>
      </c>
      <c r="S23">
        <v>8</v>
      </c>
      <c r="T23">
        <v>1</v>
      </c>
      <c r="U23">
        <v>8</v>
      </c>
      <c r="V23">
        <v>1</v>
      </c>
      <c r="W23">
        <v>0.0</v>
      </c>
      <c r="X23">
        <v>0.0</v>
      </c>
      <c r="Y23">
        <v>0.0</v>
      </c>
      <c r="Z23">
        <v>0.0</v>
      </c>
      <c r="AA23">
        <v>0.0</v>
      </c>
      <c r="AB23">
        <v>0.0</v>
      </c>
      <c r="AC23">
        <v>0.0</v>
      </c>
      <c r="AD23">
        <v>0.0</v>
      </c>
      <c r="AG23" t="str">
        <f>HYPERLINK("https://fwc26.smmarta.com/nomenclature/765/images-download", "Download")</f>
        <v>0</v>
      </c>
    </row>
    <row r="24" spans="1:33">
      <c r="A24" t="s">
        <v>109</v>
      </c>
      <c r="B24" t="s">
        <v>110</v>
      </c>
      <c r="C24" t="s">
        <v>35</v>
      </c>
      <c r="D24" t="s">
        <v>36</v>
      </c>
      <c r="E24" t="s">
        <v>37</v>
      </c>
      <c r="F24" t="s">
        <v>37</v>
      </c>
      <c r="G24" t="s">
        <v>37</v>
      </c>
      <c r="J24" t="s">
        <v>51</v>
      </c>
      <c r="K24">
        <v>24592478</v>
      </c>
      <c r="M24">
        <v>148.99</v>
      </c>
    </row>
    <row r="25" spans="1:33">
      <c r="A25" t="s">
        <v>111</v>
      </c>
      <c r="B25" t="s">
        <v>112</v>
      </c>
      <c r="C25" t="s">
        <v>35</v>
      </c>
      <c r="D25" t="s">
        <v>36</v>
      </c>
      <c r="E25" t="s">
        <v>37</v>
      </c>
      <c r="F25" t="s">
        <v>37</v>
      </c>
      <c r="G25" t="s">
        <v>113</v>
      </c>
      <c r="H25">
        <v>1</v>
      </c>
      <c r="J25" t="s">
        <v>62</v>
      </c>
      <c r="M25">
        <v>150</v>
      </c>
      <c r="P25" t="s">
        <v>63</v>
      </c>
      <c r="Q25" t="s">
        <v>114</v>
      </c>
      <c r="R25" t="s">
        <v>48</v>
      </c>
      <c r="S25">
        <v>13</v>
      </c>
      <c r="T25">
        <v>1</v>
      </c>
      <c r="U25">
        <v>13</v>
      </c>
      <c r="V25">
        <v>1</v>
      </c>
      <c r="W25">
        <v>0.0</v>
      </c>
      <c r="X25">
        <v>0.0</v>
      </c>
      <c r="Y25">
        <v>0.0</v>
      </c>
      <c r="Z25">
        <v>0.0</v>
      </c>
      <c r="AA25">
        <v>0.0</v>
      </c>
      <c r="AB25">
        <v>0.0</v>
      </c>
      <c r="AC25">
        <v>0.0</v>
      </c>
      <c r="AD25">
        <v>0.0</v>
      </c>
      <c r="AG25" t="str">
        <f>HYPERLINK("https://fwc26.smmarta.com/nomenclature/573/images-download", "Download")</f>
        <v>0</v>
      </c>
    </row>
    <row r="26" spans="1:33">
      <c r="A26" t="s">
        <v>115</v>
      </c>
      <c r="B26" t="s">
        <v>116</v>
      </c>
      <c r="C26" t="s">
        <v>35</v>
      </c>
      <c r="D26" t="s">
        <v>36</v>
      </c>
      <c r="E26" t="s">
        <v>37</v>
      </c>
      <c r="F26" t="s">
        <v>37</v>
      </c>
      <c r="G26" t="s">
        <v>37</v>
      </c>
      <c r="H26">
        <v>1</v>
      </c>
      <c r="I26">
        <v>1300</v>
      </c>
      <c r="J26" t="s">
        <v>38</v>
      </c>
      <c r="M26">
        <v>74</v>
      </c>
      <c r="N26" t="s">
        <v>39</v>
      </c>
      <c r="W26">
        <v>0.0</v>
      </c>
      <c r="X26">
        <v>0.0</v>
      </c>
      <c r="Y26">
        <v>0.0</v>
      </c>
      <c r="Z26">
        <v>0.0</v>
      </c>
      <c r="AA26">
        <v>0.0</v>
      </c>
      <c r="AB26">
        <v>0.0</v>
      </c>
      <c r="AC26">
        <v>0.0</v>
      </c>
      <c r="AD26">
        <v>0.0</v>
      </c>
    </row>
    <row r="27" spans="1:33">
      <c r="A27" t="s">
        <v>117</v>
      </c>
      <c r="B27" t="s">
        <v>118</v>
      </c>
      <c r="C27" t="s">
        <v>35</v>
      </c>
      <c r="D27" t="s">
        <v>36</v>
      </c>
      <c r="E27" t="s">
        <v>37</v>
      </c>
      <c r="F27" t="s">
        <v>37</v>
      </c>
      <c r="G27" t="s">
        <v>37</v>
      </c>
      <c r="H27">
        <v>1</v>
      </c>
      <c r="J27" t="s">
        <v>119</v>
      </c>
      <c r="M27">
        <v>53.9</v>
      </c>
      <c r="P27">
        <v>9817</v>
      </c>
      <c r="Q27" t="s">
        <v>120</v>
      </c>
      <c r="R27" t="s">
        <v>48</v>
      </c>
      <c r="U27">
        <v>80</v>
      </c>
      <c r="V27">
        <v>1</v>
      </c>
      <c r="W27">
        <v>0.0</v>
      </c>
      <c r="X27">
        <v>0.0</v>
      </c>
      <c r="Y27">
        <v>0.0</v>
      </c>
      <c r="Z27">
        <v>0.0</v>
      </c>
      <c r="AA27">
        <v>0.0</v>
      </c>
      <c r="AB27">
        <v>0.0</v>
      </c>
      <c r="AC27">
        <v>0.0</v>
      </c>
      <c r="AD27">
        <v>0.0</v>
      </c>
      <c r="AE27" t="s">
        <v>121</v>
      </c>
    </row>
    <row r="28" spans="1:33">
      <c r="A28" t="s">
        <v>122</v>
      </c>
      <c r="B28" t="s">
        <v>123</v>
      </c>
      <c r="C28" t="s">
        <v>35</v>
      </c>
      <c r="D28" t="s">
        <v>36</v>
      </c>
      <c r="E28" t="s">
        <v>37</v>
      </c>
      <c r="F28" t="s">
        <v>37</v>
      </c>
      <c r="G28" t="s">
        <v>37</v>
      </c>
      <c r="H28">
        <v>1</v>
      </c>
      <c r="J28" t="s">
        <v>124</v>
      </c>
      <c r="M28">
        <v>135</v>
      </c>
      <c r="W28">
        <v>0.0</v>
      </c>
      <c r="X28">
        <v>0.0</v>
      </c>
      <c r="Y28">
        <v>0.0</v>
      </c>
      <c r="Z28">
        <v>0.0</v>
      </c>
      <c r="AA28">
        <v>0.0</v>
      </c>
      <c r="AB28">
        <v>0.0</v>
      </c>
      <c r="AC28">
        <v>0.0</v>
      </c>
      <c r="AD28">
        <v>0.0</v>
      </c>
    </row>
    <row r="29" spans="1:33">
      <c r="A29" t="s">
        <v>125</v>
      </c>
      <c r="B29" t="s">
        <v>126</v>
      </c>
      <c r="C29" t="s">
        <v>35</v>
      </c>
      <c r="D29" t="s">
        <v>36</v>
      </c>
      <c r="E29" t="s">
        <v>37</v>
      </c>
      <c r="F29" t="s">
        <v>37</v>
      </c>
      <c r="G29" t="s">
        <v>37</v>
      </c>
      <c r="H29">
        <v>1</v>
      </c>
      <c r="J29" t="s">
        <v>124</v>
      </c>
      <c r="M29">
        <v>210</v>
      </c>
      <c r="W29">
        <v>0.0</v>
      </c>
      <c r="X29">
        <v>0.0</v>
      </c>
      <c r="Y29">
        <v>0.0</v>
      </c>
      <c r="Z29">
        <v>0.0</v>
      </c>
      <c r="AA29">
        <v>0.0</v>
      </c>
      <c r="AB29">
        <v>0.0</v>
      </c>
      <c r="AC29">
        <v>0.0</v>
      </c>
      <c r="AD29">
        <v>0.0</v>
      </c>
    </row>
    <row r="30" spans="1:33">
      <c r="A30" t="s">
        <v>127</v>
      </c>
      <c r="B30" t="s">
        <v>128</v>
      </c>
      <c r="C30" t="s">
        <v>35</v>
      </c>
      <c r="D30" t="s">
        <v>36</v>
      </c>
      <c r="E30" t="s">
        <v>37</v>
      </c>
      <c r="F30" t="s">
        <v>37</v>
      </c>
      <c r="G30" t="s">
        <v>37</v>
      </c>
      <c r="J30" t="s">
        <v>119</v>
      </c>
      <c r="M30">
        <v>79.2</v>
      </c>
      <c r="U30">
        <v>80</v>
      </c>
      <c r="V30">
        <v>1</v>
      </c>
      <c r="W30">
        <v>0.0</v>
      </c>
      <c r="X30">
        <v>0.0</v>
      </c>
      <c r="Y30">
        <v>0.0</v>
      </c>
      <c r="Z30">
        <v>0.0</v>
      </c>
      <c r="AA30">
        <v>0.0</v>
      </c>
      <c r="AB30">
        <v>0.0</v>
      </c>
      <c r="AC30">
        <v>0.0</v>
      </c>
      <c r="AD30">
        <v>0.0</v>
      </c>
      <c r="AE30" t="s">
        <v>121</v>
      </c>
    </row>
    <row r="31" spans="1:33">
      <c r="A31" t="s">
        <v>129</v>
      </c>
      <c r="B31" t="s">
        <v>130</v>
      </c>
      <c r="C31" t="s">
        <v>35</v>
      </c>
      <c r="D31" t="s">
        <v>36</v>
      </c>
      <c r="E31" t="s">
        <v>37</v>
      </c>
      <c r="F31" t="s">
        <v>37</v>
      </c>
      <c r="G31" t="s">
        <v>37</v>
      </c>
      <c r="H31">
        <v>1</v>
      </c>
      <c r="I31">
        <v>55</v>
      </c>
      <c r="J31" t="s">
        <v>38</v>
      </c>
      <c r="M31">
        <v>86</v>
      </c>
      <c r="N31" t="s">
        <v>39</v>
      </c>
      <c r="W31">
        <v>0.0</v>
      </c>
      <c r="X31">
        <v>0.0</v>
      </c>
      <c r="Y31">
        <v>0.0</v>
      </c>
      <c r="Z31">
        <v>0.0</v>
      </c>
      <c r="AA31">
        <v>0.0</v>
      </c>
      <c r="AB31">
        <v>0.0</v>
      </c>
      <c r="AC31">
        <v>0.0</v>
      </c>
      <c r="AD31">
        <v>0.0</v>
      </c>
    </row>
    <row r="32" spans="1:33">
      <c r="A32" t="s">
        <v>131</v>
      </c>
      <c r="B32" t="s">
        <v>132</v>
      </c>
      <c r="C32" t="s">
        <v>35</v>
      </c>
      <c r="D32" t="s">
        <v>36</v>
      </c>
      <c r="E32" t="s">
        <v>37</v>
      </c>
      <c r="F32" t="s">
        <v>37</v>
      </c>
      <c r="G32" t="s">
        <v>37</v>
      </c>
      <c r="J32" t="s">
        <v>43</v>
      </c>
      <c r="K32">
        <v>316330230</v>
      </c>
      <c r="L32" t="s">
        <v>133</v>
      </c>
      <c r="M32">
        <v>28.11</v>
      </c>
      <c r="O32" t="s">
        <v>134</v>
      </c>
      <c r="P32" t="s">
        <v>46</v>
      </c>
      <c r="Q32">
        <v>8306.29</v>
      </c>
      <c r="R32" t="s">
        <v>48</v>
      </c>
      <c r="S32">
        <v>8</v>
      </c>
      <c r="T32">
        <v>1</v>
      </c>
      <c r="U32">
        <v>8</v>
      </c>
      <c r="V32">
        <v>1</v>
      </c>
      <c r="W32">
        <v>0.0</v>
      </c>
      <c r="X32">
        <v>0.0</v>
      </c>
      <c r="Y32">
        <v>0.0</v>
      </c>
      <c r="Z32">
        <v>0.0</v>
      </c>
      <c r="AA32">
        <v>0.0</v>
      </c>
      <c r="AB32">
        <v>0.0</v>
      </c>
      <c r="AC32">
        <v>0.0</v>
      </c>
      <c r="AD32">
        <v>0.0</v>
      </c>
      <c r="AE32" t="s">
        <v>135</v>
      </c>
      <c r="AG32" t="str">
        <f>HYPERLINK("https://fwc26.smmarta.com/nomenclature/770/images-download", "Download")</f>
        <v>0</v>
      </c>
    </row>
    <row r="33" spans="1:33">
      <c r="A33" t="s">
        <v>136</v>
      </c>
      <c r="B33" t="s">
        <v>137</v>
      </c>
      <c r="C33" t="s">
        <v>35</v>
      </c>
      <c r="D33" t="s">
        <v>36</v>
      </c>
      <c r="E33" t="s">
        <v>37</v>
      </c>
      <c r="F33" t="s">
        <v>37</v>
      </c>
      <c r="G33" t="s">
        <v>37</v>
      </c>
      <c r="H33">
        <v>1</v>
      </c>
      <c r="J33" t="s">
        <v>119</v>
      </c>
      <c r="M33">
        <v>38.5</v>
      </c>
      <c r="P33">
        <v>9817</v>
      </c>
      <c r="Q33" t="s">
        <v>138</v>
      </c>
      <c r="R33" t="s">
        <v>48</v>
      </c>
      <c r="U33">
        <v>320</v>
      </c>
      <c r="V33">
        <v>1</v>
      </c>
      <c r="W33">
        <v>0.0</v>
      </c>
      <c r="X33">
        <v>0.0</v>
      </c>
      <c r="Y33">
        <v>0.0</v>
      </c>
      <c r="Z33">
        <v>0.0</v>
      </c>
      <c r="AA33">
        <v>0.0</v>
      </c>
      <c r="AB33">
        <v>0.0</v>
      </c>
      <c r="AC33">
        <v>0.0</v>
      </c>
      <c r="AD33">
        <v>0.0</v>
      </c>
    </row>
    <row r="34" spans="1:33">
      <c r="A34" t="s">
        <v>139</v>
      </c>
      <c r="B34" t="s">
        <v>137</v>
      </c>
      <c r="C34" t="s">
        <v>35</v>
      </c>
      <c r="D34" t="s">
        <v>36</v>
      </c>
      <c r="E34" t="s">
        <v>37</v>
      </c>
      <c r="F34" t="s">
        <v>37</v>
      </c>
      <c r="G34" t="s">
        <v>37</v>
      </c>
      <c r="H34">
        <v>1</v>
      </c>
      <c r="J34" t="s">
        <v>124</v>
      </c>
      <c r="M34">
        <v>172</v>
      </c>
      <c r="W34">
        <v>0.0</v>
      </c>
      <c r="X34">
        <v>0.0</v>
      </c>
      <c r="Y34">
        <v>0.0</v>
      </c>
      <c r="Z34">
        <v>0.0</v>
      </c>
      <c r="AA34">
        <v>0.0</v>
      </c>
      <c r="AB34">
        <v>0.0</v>
      </c>
      <c r="AC34">
        <v>0.0</v>
      </c>
      <c r="AD34">
        <v>0.0</v>
      </c>
    </row>
    <row r="35" spans="1:33">
      <c r="A35" t="s">
        <v>140</v>
      </c>
      <c r="B35" t="s">
        <v>141</v>
      </c>
      <c r="C35" t="s">
        <v>35</v>
      </c>
      <c r="D35" t="s">
        <v>36</v>
      </c>
      <c r="E35" t="s">
        <v>37</v>
      </c>
      <c r="F35" t="s">
        <v>37</v>
      </c>
      <c r="G35" t="s">
        <v>37</v>
      </c>
      <c r="H35">
        <v>1</v>
      </c>
      <c r="J35" t="s">
        <v>62</v>
      </c>
      <c r="M35">
        <v>42</v>
      </c>
      <c r="P35" t="s">
        <v>63</v>
      </c>
      <c r="Q35">
        <v>3926.9</v>
      </c>
      <c r="R35" t="s">
        <v>48</v>
      </c>
      <c r="S35">
        <v>90</v>
      </c>
      <c r="T35">
        <v>1</v>
      </c>
      <c r="U35">
        <v>90</v>
      </c>
      <c r="V35">
        <v>1</v>
      </c>
      <c r="W35">
        <v>0.0</v>
      </c>
      <c r="X35">
        <v>0.0</v>
      </c>
      <c r="Y35">
        <v>0.0</v>
      </c>
      <c r="Z35">
        <v>0.0</v>
      </c>
      <c r="AA35">
        <v>0.0</v>
      </c>
      <c r="AB35">
        <v>0.0</v>
      </c>
      <c r="AC35">
        <v>0.0</v>
      </c>
      <c r="AD35">
        <v>0.0</v>
      </c>
      <c r="AG35" t="str">
        <f>HYPERLINK("https://fwc26.smmarta.com/nomenclature/574/images-download", "Download")</f>
        <v>0</v>
      </c>
    </row>
    <row r="36" spans="1:33">
      <c r="A36" t="s">
        <v>142</v>
      </c>
      <c r="B36" t="s">
        <v>141</v>
      </c>
      <c r="C36" t="s">
        <v>35</v>
      </c>
      <c r="D36" t="s">
        <v>36</v>
      </c>
      <c r="E36" t="s">
        <v>37</v>
      </c>
      <c r="F36" t="s">
        <v>37</v>
      </c>
      <c r="G36" t="s">
        <v>37</v>
      </c>
      <c r="H36">
        <v>1</v>
      </c>
      <c r="J36" t="s">
        <v>119</v>
      </c>
      <c r="M36">
        <v>31.9</v>
      </c>
      <c r="P36" t="s">
        <v>46</v>
      </c>
      <c r="Q36" t="s">
        <v>143</v>
      </c>
      <c r="R36" t="s">
        <v>144</v>
      </c>
      <c r="S36">
        <v>90</v>
      </c>
      <c r="T36">
        <v>1</v>
      </c>
      <c r="U36">
        <v>90</v>
      </c>
      <c r="V36">
        <v>1</v>
      </c>
      <c r="W36">
        <v>0.0</v>
      </c>
      <c r="X36">
        <v>0.0</v>
      </c>
      <c r="Y36">
        <v>0.0</v>
      </c>
      <c r="Z36">
        <v>0.0</v>
      </c>
      <c r="AA36">
        <v>0.0</v>
      </c>
      <c r="AB36">
        <v>0.0</v>
      </c>
      <c r="AC36">
        <v>0.0</v>
      </c>
      <c r="AD36">
        <v>0.0</v>
      </c>
    </row>
    <row r="37" spans="1:33">
      <c r="A37" t="s">
        <v>145</v>
      </c>
      <c r="B37" t="s">
        <v>146</v>
      </c>
      <c r="C37" t="s">
        <v>35</v>
      </c>
      <c r="D37" t="s">
        <v>36</v>
      </c>
      <c r="E37" t="s">
        <v>37</v>
      </c>
      <c r="F37" t="s">
        <v>37</v>
      </c>
      <c r="G37" t="s">
        <v>113</v>
      </c>
      <c r="H37">
        <v>1</v>
      </c>
      <c r="J37" t="s">
        <v>62</v>
      </c>
      <c r="M37">
        <v>133</v>
      </c>
      <c r="P37" t="s">
        <v>63</v>
      </c>
      <c r="Q37" t="s">
        <v>147</v>
      </c>
      <c r="R37" t="s">
        <v>48</v>
      </c>
      <c r="S37">
        <v>9</v>
      </c>
      <c r="T37">
        <v>1</v>
      </c>
      <c r="U37">
        <v>9</v>
      </c>
      <c r="V37">
        <v>1</v>
      </c>
      <c r="W37">
        <v>0.0</v>
      </c>
      <c r="X37">
        <v>0.0</v>
      </c>
      <c r="Y37">
        <v>0.0</v>
      </c>
      <c r="Z37">
        <v>0.0</v>
      </c>
      <c r="AA37">
        <v>0.0</v>
      </c>
      <c r="AB37">
        <v>0.0</v>
      </c>
      <c r="AC37">
        <v>0.0</v>
      </c>
      <c r="AD37">
        <v>0.0</v>
      </c>
      <c r="AG37" t="str">
        <f>HYPERLINK("https://fwc26.smmarta.com/nomenclature/724/images-download", "Download")</f>
        <v>0</v>
      </c>
    </row>
    <row r="38" spans="1:33">
      <c r="A38" t="s">
        <v>148</v>
      </c>
      <c r="B38" t="s">
        <v>149</v>
      </c>
      <c r="C38" t="s">
        <v>35</v>
      </c>
      <c r="D38" t="s">
        <v>36</v>
      </c>
      <c r="E38" t="s">
        <v>37</v>
      </c>
      <c r="F38" t="s">
        <v>37</v>
      </c>
      <c r="G38" t="s">
        <v>113</v>
      </c>
      <c r="H38">
        <v>1</v>
      </c>
      <c r="J38" t="s">
        <v>62</v>
      </c>
      <c r="M38">
        <v>133</v>
      </c>
      <c r="P38" t="s">
        <v>63</v>
      </c>
      <c r="R38" t="s">
        <v>48</v>
      </c>
      <c r="S38">
        <v>9</v>
      </c>
      <c r="T38">
        <v>1</v>
      </c>
      <c r="U38">
        <v>9</v>
      </c>
      <c r="V38">
        <v>1</v>
      </c>
      <c r="W38">
        <v>0.0</v>
      </c>
      <c r="X38">
        <v>0.0</v>
      </c>
      <c r="Y38">
        <v>0.0</v>
      </c>
      <c r="Z38">
        <v>0.0</v>
      </c>
      <c r="AA38">
        <v>0.0</v>
      </c>
      <c r="AB38">
        <v>0.0</v>
      </c>
      <c r="AC38">
        <v>0.0</v>
      </c>
      <c r="AD38">
        <v>0.0</v>
      </c>
    </row>
    <row r="39" spans="1:33">
      <c r="A39" t="s">
        <v>150</v>
      </c>
      <c r="B39" t="s">
        <v>151</v>
      </c>
      <c r="C39" t="s">
        <v>35</v>
      </c>
      <c r="D39" t="s">
        <v>36</v>
      </c>
      <c r="E39" t="s">
        <v>37</v>
      </c>
      <c r="F39" t="s">
        <v>37</v>
      </c>
      <c r="G39" t="s">
        <v>37</v>
      </c>
      <c r="H39">
        <v>1</v>
      </c>
      <c r="J39" t="s">
        <v>124</v>
      </c>
      <c r="M39">
        <v>137</v>
      </c>
      <c r="W39">
        <v>0.0</v>
      </c>
      <c r="X39">
        <v>0.0</v>
      </c>
      <c r="Y39">
        <v>0.0</v>
      </c>
      <c r="Z39">
        <v>0.0</v>
      </c>
      <c r="AA39">
        <v>0.0</v>
      </c>
      <c r="AB39">
        <v>0.0</v>
      </c>
      <c r="AC39">
        <v>0.0</v>
      </c>
      <c r="AD39">
        <v>0.0</v>
      </c>
    </row>
    <row r="40" spans="1:33">
      <c r="A40" t="s">
        <v>152</v>
      </c>
      <c r="B40" t="s">
        <v>153</v>
      </c>
      <c r="C40" t="s">
        <v>35</v>
      </c>
      <c r="D40" t="s">
        <v>36</v>
      </c>
      <c r="E40" t="s">
        <v>37</v>
      </c>
      <c r="F40" t="s">
        <v>37</v>
      </c>
      <c r="G40" t="s">
        <v>37</v>
      </c>
      <c r="J40" t="s">
        <v>43</v>
      </c>
      <c r="K40">
        <v>328517023</v>
      </c>
      <c r="L40" t="s">
        <v>154</v>
      </c>
      <c r="M40">
        <v>44.25</v>
      </c>
      <c r="O40" t="s">
        <v>155</v>
      </c>
      <c r="P40" t="s">
        <v>46</v>
      </c>
      <c r="Q40">
        <v>9403.2</v>
      </c>
      <c r="R40" t="s">
        <v>48</v>
      </c>
      <c r="W40">
        <v>0.0</v>
      </c>
      <c r="X40">
        <v>0.0</v>
      </c>
      <c r="Y40">
        <v>0.0</v>
      </c>
      <c r="Z40">
        <v>0.0</v>
      </c>
      <c r="AA40">
        <v>0.0</v>
      </c>
      <c r="AB40">
        <v>0.0</v>
      </c>
      <c r="AC40">
        <v>0.0</v>
      </c>
      <c r="AD40">
        <v>0.0</v>
      </c>
      <c r="AE40" t="s">
        <v>121</v>
      </c>
      <c r="AG40" t="str">
        <f>HYPERLINK("https://fwc26.smmarta.com/nomenclature/759/images-download", "Download")</f>
        <v>0</v>
      </c>
    </row>
    <row r="41" spans="1:33">
      <c r="A41" t="s">
        <v>156</v>
      </c>
      <c r="B41" t="s">
        <v>157</v>
      </c>
      <c r="C41" t="s">
        <v>35</v>
      </c>
      <c r="D41" t="s">
        <v>36</v>
      </c>
      <c r="E41" t="s">
        <v>37</v>
      </c>
      <c r="F41" t="s">
        <v>37</v>
      </c>
      <c r="G41" t="s">
        <v>37</v>
      </c>
      <c r="H41">
        <v>1</v>
      </c>
      <c r="J41" t="s">
        <v>119</v>
      </c>
      <c r="M41">
        <v>88</v>
      </c>
      <c r="P41" t="s">
        <v>46</v>
      </c>
      <c r="Q41" t="s">
        <v>158</v>
      </c>
      <c r="R41" t="s">
        <v>48</v>
      </c>
      <c r="S41">
        <v>120</v>
      </c>
      <c r="T41">
        <v>1</v>
      </c>
      <c r="U41">
        <v>120</v>
      </c>
      <c r="V41">
        <v>1</v>
      </c>
      <c r="W41">
        <v>0.0</v>
      </c>
      <c r="X41">
        <v>0.0</v>
      </c>
      <c r="Y41">
        <v>0.0</v>
      </c>
      <c r="Z41">
        <v>0.0</v>
      </c>
      <c r="AA41">
        <v>0.0</v>
      </c>
      <c r="AB41">
        <v>0.0</v>
      </c>
      <c r="AC41">
        <v>0.0</v>
      </c>
      <c r="AD41">
        <v>0.0</v>
      </c>
    </row>
    <row r="42" spans="1:33">
      <c r="A42" t="s">
        <v>159</v>
      </c>
      <c r="B42" t="s">
        <v>160</v>
      </c>
      <c r="C42" t="s">
        <v>35</v>
      </c>
      <c r="D42" t="s">
        <v>36</v>
      </c>
      <c r="E42" t="s">
        <v>37</v>
      </c>
      <c r="F42" t="s">
        <v>37</v>
      </c>
      <c r="G42" t="s">
        <v>37</v>
      </c>
      <c r="H42">
        <v>1</v>
      </c>
      <c r="J42" t="s">
        <v>62</v>
      </c>
      <c r="M42">
        <v>336</v>
      </c>
      <c r="P42" t="s">
        <v>63</v>
      </c>
      <c r="Q42" t="s">
        <v>161</v>
      </c>
      <c r="R42" t="s">
        <v>48</v>
      </c>
      <c r="S42">
        <v>80</v>
      </c>
      <c r="T42">
        <v>1</v>
      </c>
      <c r="U42">
        <v>80</v>
      </c>
      <c r="V42">
        <v>1</v>
      </c>
      <c r="W42">
        <v>0.0</v>
      </c>
      <c r="X42">
        <v>0.0</v>
      </c>
      <c r="Y42">
        <v>0.0</v>
      </c>
      <c r="Z42">
        <v>0.0</v>
      </c>
      <c r="AA42">
        <v>0.0</v>
      </c>
      <c r="AB42">
        <v>0.0</v>
      </c>
      <c r="AC42">
        <v>0.0</v>
      </c>
      <c r="AD42">
        <v>0.0</v>
      </c>
      <c r="AG42" t="str">
        <f>HYPERLINK("https://fwc26.smmarta.com/nomenclature/577/images-download", "Download")</f>
        <v>0</v>
      </c>
    </row>
    <row r="43" spans="1:33">
      <c r="A43" t="s">
        <v>162</v>
      </c>
      <c r="B43" t="s">
        <v>160</v>
      </c>
      <c r="C43" t="s">
        <v>35</v>
      </c>
      <c r="D43" t="s">
        <v>36</v>
      </c>
      <c r="E43" t="s">
        <v>37</v>
      </c>
      <c r="F43" t="s">
        <v>37</v>
      </c>
      <c r="G43" t="s">
        <v>37</v>
      </c>
      <c r="H43">
        <v>1</v>
      </c>
      <c r="J43" t="s">
        <v>119</v>
      </c>
      <c r="M43">
        <v>96.8</v>
      </c>
      <c r="P43" t="s">
        <v>46</v>
      </c>
      <c r="Q43" t="s">
        <v>163</v>
      </c>
      <c r="R43" t="s">
        <v>48</v>
      </c>
      <c r="S43">
        <v>160</v>
      </c>
      <c r="T43">
        <v>1</v>
      </c>
      <c r="U43">
        <v>160</v>
      </c>
      <c r="V43">
        <v>1</v>
      </c>
      <c r="W43">
        <v>0.0</v>
      </c>
      <c r="X43">
        <v>0.0</v>
      </c>
      <c r="Y43">
        <v>0.0</v>
      </c>
      <c r="Z43">
        <v>0.0</v>
      </c>
      <c r="AA43">
        <v>0.0</v>
      </c>
      <c r="AB43">
        <v>0.0</v>
      </c>
      <c r="AC43">
        <v>0.0</v>
      </c>
      <c r="AD43">
        <v>0.0</v>
      </c>
    </row>
    <row r="44" spans="1:33">
      <c r="A44" t="s">
        <v>164</v>
      </c>
      <c r="B44" t="s">
        <v>165</v>
      </c>
      <c r="C44" t="s">
        <v>35</v>
      </c>
      <c r="D44" t="s">
        <v>36</v>
      </c>
      <c r="E44" t="s">
        <v>37</v>
      </c>
      <c r="F44" t="s">
        <v>37</v>
      </c>
      <c r="G44" t="s">
        <v>37</v>
      </c>
      <c r="J44" t="s">
        <v>51</v>
      </c>
      <c r="K44">
        <v>24614185</v>
      </c>
      <c r="M44">
        <v>119.99</v>
      </c>
    </row>
    <row r="45" spans="1:33">
      <c r="A45" t="s">
        <v>166</v>
      </c>
      <c r="B45" t="s">
        <v>167</v>
      </c>
      <c r="C45" t="s">
        <v>35</v>
      </c>
      <c r="D45" t="s">
        <v>168</v>
      </c>
      <c r="E45" t="s">
        <v>37</v>
      </c>
      <c r="F45" t="s">
        <v>113</v>
      </c>
      <c r="G45" t="s">
        <v>37</v>
      </c>
      <c r="H45">
        <v>1</v>
      </c>
      <c r="J45" t="s">
        <v>62</v>
      </c>
      <c r="M45">
        <v>25</v>
      </c>
      <c r="N45" t="s">
        <v>169</v>
      </c>
      <c r="P45" t="s">
        <v>63</v>
      </c>
      <c r="R45" t="s">
        <v>170</v>
      </c>
      <c r="S45">
        <v>1200</v>
      </c>
      <c r="T45">
        <v>1</v>
      </c>
      <c r="U45">
        <v>1200</v>
      </c>
      <c r="V45">
        <v>1</v>
      </c>
      <c r="W45">
        <v>0.0</v>
      </c>
      <c r="X45">
        <v>0.0</v>
      </c>
      <c r="Y45">
        <v>0.0</v>
      </c>
      <c r="Z45">
        <v>0.0</v>
      </c>
      <c r="AA45">
        <v>0.0</v>
      </c>
      <c r="AB45">
        <v>0.0</v>
      </c>
      <c r="AC45">
        <v>0.0</v>
      </c>
      <c r="AD45">
        <v>0.0</v>
      </c>
      <c r="AG45" t="str">
        <f>HYPERLINK("https://fwc26.smmarta.com/nomenclature/578/images-download", "Download")</f>
        <v>0</v>
      </c>
    </row>
    <row r="46" spans="1:33">
      <c r="A46" t="s">
        <v>171</v>
      </c>
      <c r="B46" t="s">
        <v>172</v>
      </c>
      <c r="C46" t="s">
        <v>35</v>
      </c>
      <c r="D46" t="s">
        <v>168</v>
      </c>
      <c r="E46" t="s">
        <v>37</v>
      </c>
      <c r="F46" t="s">
        <v>113</v>
      </c>
      <c r="G46" t="s">
        <v>37</v>
      </c>
      <c r="J46" t="s">
        <v>43</v>
      </c>
      <c r="K46">
        <v>301772690</v>
      </c>
      <c r="L46" t="s">
        <v>173</v>
      </c>
      <c r="M46">
        <v>11.97</v>
      </c>
      <c r="N46" t="s">
        <v>169</v>
      </c>
      <c r="O46" t="s">
        <v>174</v>
      </c>
      <c r="P46" t="s">
        <v>46</v>
      </c>
      <c r="Q46">
        <v>3919.9</v>
      </c>
      <c r="R46" t="s">
        <v>144</v>
      </c>
      <c r="S46">
        <v>2500</v>
      </c>
      <c r="T46">
        <v>1</v>
      </c>
      <c r="U46">
        <v>2500</v>
      </c>
      <c r="V46">
        <v>1</v>
      </c>
      <c r="W46">
        <v>0.0</v>
      </c>
      <c r="X46">
        <v>0.0</v>
      </c>
      <c r="Y46">
        <v>0.0</v>
      </c>
      <c r="Z46">
        <v>0.0</v>
      </c>
      <c r="AA46">
        <v>0.0</v>
      </c>
      <c r="AB46">
        <v>0.0</v>
      </c>
      <c r="AC46">
        <v>0.0</v>
      </c>
      <c r="AD46">
        <v>0.0</v>
      </c>
      <c r="AG46" t="str">
        <f>HYPERLINK("https://fwc26.smmarta.com/nomenclature/962/images-download", "Download")</f>
        <v>0</v>
      </c>
    </row>
    <row r="47" spans="1:33">
      <c r="A47" t="s">
        <v>175</v>
      </c>
      <c r="B47" t="s">
        <v>176</v>
      </c>
      <c r="C47" t="s">
        <v>35</v>
      </c>
      <c r="D47" t="s">
        <v>168</v>
      </c>
      <c r="E47" t="s">
        <v>37</v>
      </c>
      <c r="F47" t="s">
        <v>113</v>
      </c>
      <c r="G47" t="s">
        <v>37</v>
      </c>
      <c r="H47">
        <v>1</v>
      </c>
      <c r="J47" t="s">
        <v>62</v>
      </c>
      <c r="M47">
        <v>13</v>
      </c>
      <c r="N47" t="s">
        <v>169</v>
      </c>
      <c r="P47" t="s">
        <v>63</v>
      </c>
      <c r="R47" t="s">
        <v>48</v>
      </c>
      <c r="S47">
        <v>1200</v>
      </c>
      <c r="T47">
        <v>1</v>
      </c>
      <c r="U47">
        <v>1200</v>
      </c>
      <c r="V47">
        <v>1</v>
      </c>
      <c r="W47">
        <v>0.0</v>
      </c>
      <c r="X47">
        <v>0.0</v>
      </c>
      <c r="Y47">
        <v>0.0</v>
      </c>
      <c r="Z47">
        <v>0.0</v>
      </c>
      <c r="AA47">
        <v>0.0</v>
      </c>
      <c r="AB47">
        <v>0.0</v>
      </c>
      <c r="AC47">
        <v>0.0</v>
      </c>
      <c r="AD47">
        <v>0.0</v>
      </c>
      <c r="AG47" t="str">
        <f>HYPERLINK("https://fwc26.smmarta.com/nomenclature/579/images-download", "Download")</f>
        <v>0</v>
      </c>
    </row>
    <row r="48" spans="1:33">
      <c r="A48" t="s">
        <v>177</v>
      </c>
      <c r="B48" t="s">
        <v>178</v>
      </c>
      <c r="C48" t="s">
        <v>35</v>
      </c>
      <c r="D48" t="s">
        <v>168</v>
      </c>
      <c r="E48" t="s">
        <v>37</v>
      </c>
      <c r="F48" t="s">
        <v>113</v>
      </c>
      <c r="G48" t="s">
        <v>37</v>
      </c>
      <c r="J48" t="s">
        <v>43</v>
      </c>
      <c r="K48">
        <v>308810458</v>
      </c>
      <c r="L48" t="s">
        <v>173</v>
      </c>
      <c r="M48">
        <v>10.47</v>
      </c>
      <c r="N48" t="s">
        <v>169</v>
      </c>
      <c r="O48" t="s">
        <v>179</v>
      </c>
      <c r="P48" t="s">
        <v>46</v>
      </c>
      <c r="Q48">
        <v>3919.1</v>
      </c>
      <c r="R48" t="s">
        <v>180</v>
      </c>
      <c r="S48">
        <v>2500</v>
      </c>
      <c r="T48">
        <v>1</v>
      </c>
      <c r="U48">
        <v>2500</v>
      </c>
      <c r="V48">
        <v>1</v>
      </c>
      <c r="W48">
        <v>0.0</v>
      </c>
      <c r="X48">
        <v>0.0</v>
      </c>
      <c r="Y48">
        <v>0.0</v>
      </c>
      <c r="Z48">
        <v>0.0</v>
      </c>
      <c r="AA48">
        <v>0.0</v>
      </c>
      <c r="AB48">
        <v>0.0</v>
      </c>
      <c r="AC48">
        <v>0.0</v>
      </c>
      <c r="AD48">
        <v>0.0</v>
      </c>
      <c r="AE48" t="s">
        <v>181</v>
      </c>
      <c r="AG48" t="str">
        <f>HYPERLINK("https://fwc26.smmarta.com/nomenclature/1007/images-download", "Download")</f>
        <v>0</v>
      </c>
    </row>
    <row r="49" spans="1:33">
      <c r="A49" t="s">
        <v>182</v>
      </c>
      <c r="B49" t="s">
        <v>183</v>
      </c>
      <c r="C49" t="s">
        <v>35</v>
      </c>
      <c r="D49" t="s">
        <v>36</v>
      </c>
      <c r="E49" t="s">
        <v>37</v>
      </c>
      <c r="F49" t="s">
        <v>37</v>
      </c>
      <c r="G49" t="s">
        <v>37</v>
      </c>
      <c r="H49">
        <v>1</v>
      </c>
      <c r="J49" t="s">
        <v>119</v>
      </c>
      <c r="M49">
        <v>2530</v>
      </c>
      <c r="P49" t="s">
        <v>46</v>
      </c>
      <c r="Q49" t="s">
        <v>184</v>
      </c>
      <c r="R49" t="s">
        <v>144</v>
      </c>
      <c r="S49">
        <v>1</v>
      </c>
      <c r="T49">
        <v>2</v>
      </c>
      <c r="U49">
        <v>1</v>
      </c>
      <c r="V49">
        <v>2</v>
      </c>
      <c r="W49">
        <v>0.0</v>
      </c>
      <c r="X49">
        <v>0.0</v>
      </c>
      <c r="Y49">
        <v>0.0</v>
      </c>
      <c r="Z49">
        <v>0.0</v>
      </c>
      <c r="AA49">
        <v>0.0</v>
      </c>
      <c r="AB49">
        <v>0.0</v>
      </c>
      <c r="AC49">
        <v>0.0</v>
      </c>
      <c r="AD49">
        <v>0.0</v>
      </c>
    </row>
    <row r="50" spans="1:33">
      <c r="A50" t="s">
        <v>185</v>
      </c>
      <c r="B50" t="s">
        <v>186</v>
      </c>
      <c r="C50" t="s">
        <v>35</v>
      </c>
      <c r="D50" t="s">
        <v>36</v>
      </c>
      <c r="E50" t="s">
        <v>37</v>
      </c>
      <c r="F50" t="s">
        <v>113</v>
      </c>
      <c r="G50" t="s">
        <v>37</v>
      </c>
      <c r="H50">
        <v>1</v>
      </c>
      <c r="J50" t="s">
        <v>62</v>
      </c>
      <c r="M50">
        <v>15</v>
      </c>
      <c r="N50" t="s">
        <v>169</v>
      </c>
      <c r="P50" t="s">
        <v>63</v>
      </c>
      <c r="R50" t="s">
        <v>48</v>
      </c>
      <c r="S50">
        <v>1200</v>
      </c>
      <c r="T50">
        <v>1</v>
      </c>
      <c r="U50">
        <v>1200</v>
      </c>
      <c r="V50">
        <v>1</v>
      </c>
      <c r="W50">
        <v>0.0</v>
      </c>
      <c r="X50">
        <v>0.0</v>
      </c>
      <c r="Y50">
        <v>0.0</v>
      </c>
      <c r="Z50">
        <v>0.0</v>
      </c>
      <c r="AA50">
        <v>0.0</v>
      </c>
      <c r="AB50">
        <v>0.0</v>
      </c>
      <c r="AC50">
        <v>0.0</v>
      </c>
      <c r="AD50">
        <v>0.0</v>
      </c>
      <c r="AE50" t="s">
        <v>187</v>
      </c>
      <c r="AG50" t="str">
        <f>HYPERLINK("https://fwc26.smmarta.com/nomenclature/580/images-download", "Download")</f>
        <v>0</v>
      </c>
    </row>
    <row r="51" spans="1:33">
      <c r="A51" t="s">
        <v>188</v>
      </c>
      <c r="B51" t="s">
        <v>189</v>
      </c>
      <c r="C51" t="s">
        <v>35</v>
      </c>
      <c r="D51" t="s">
        <v>36</v>
      </c>
      <c r="E51" t="s">
        <v>37</v>
      </c>
      <c r="F51" t="s">
        <v>113</v>
      </c>
      <c r="G51" t="s">
        <v>37</v>
      </c>
      <c r="J51" t="s">
        <v>43</v>
      </c>
      <c r="K51">
        <v>202744734</v>
      </c>
      <c r="L51" t="s">
        <v>190</v>
      </c>
      <c r="M51">
        <v>3.8</v>
      </c>
      <c r="N51" t="s">
        <v>169</v>
      </c>
      <c r="O51" t="s">
        <v>191</v>
      </c>
      <c r="P51" t="s">
        <v>46</v>
      </c>
      <c r="Q51">
        <v>6211.43</v>
      </c>
      <c r="R51" t="s">
        <v>48</v>
      </c>
      <c r="S51">
        <v>2500</v>
      </c>
      <c r="T51">
        <v>1</v>
      </c>
      <c r="U51">
        <v>2500</v>
      </c>
      <c r="V51">
        <v>1</v>
      </c>
      <c r="W51">
        <v>0.0</v>
      </c>
      <c r="X51">
        <v>0.0</v>
      </c>
      <c r="Y51">
        <v>0.0</v>
      </c>
      <c r="Z51">
        <v>0.0</v>
      </c>
      <c r="AA51">
        <v>0.0</v>
      </c>
      <c r="AB51">
        <v>0.0</v>
      </c>
      <c r="AC51">
        <v>0.0</v>
      </c>
      <c r="AD51">
        <v>0.0</v>
      </c>
      <c r="AE51" t="s">
        <v>192</v>
      </c>
      <c r="AG51" t="str">
        <f>HYPERLINK("https://fwc26.smmarta.com/nomenclature/963/images-download", "Download")</f>
        <v>0</v>
      </c>
    </row>
    <row r="52" spans="1:33">
      <c r="A52" t="s">
        <v>193</v>
      </c>
      <c r="B52" t="s">
        <v>194</v>
      </c>
      <c r="C52" t="s">
        <v>35</v>
      </c>
      <c r="D52" t="s">
        <v>36</v>
      </c>
      <c r="E52" t="s">
        <v>37</v>
      </c>
      <c r="F52" t="s">
        <v>37</v>
      </c>
      <c r="G52" t="s">
        <v>37</v>
      </c>
      <c r="H52">
        <v>1</v>
      </c>
      <c r="J52" t="s">
        <v>62</v>
      </c>
      <c r="M52">
        <v>25</v>
      </c>
      <c r="P52" t="s">
        <v>46</v>
      </c>
      <c r="Q52" t="s">
        <v>195</v>
      </c>
      <c r="R52" t="s">
        <v>48</v>
      </c>
      <c r="S52">
        <v>2000</v>
      </c>
      <c r="T52">
        <v>1</v>
      </c>
      <c r="U52">
        <v>2000</v>
      </c>
      <c r="V52">
        <v>1</v>
      </c>
      <c r="W52">
        <v>0.0</v>
      </c>
      <c r="X52">
        <v>0.0</v>
      </c>
      <c r="Y52">
        <v>0.0</v>
      </c>
      <c r="Z52">
        <v>0.0</v>
      </c>
      <c r="AA52">
        <v>0.0</v>
      </c>
      <c r="AB52">
        <v>0.0</v>
      </c>
      <c r="AC52">
        <v>0.0</v>
      </c>
      <c r="AD52">
        <v>0.0</v>
      </c>
      <c r="AG52" t="str">
        <f>HYPERLINK("https://fwc26.smmarta.com/nomenclature/581/images-download", "Download")</f>
        <v>0</v>
      </c>
    </row>
    <row r="53" spans="1:33">
      <c r="A53" t="s">
        <v>196</v>
      </c>
      <c r="B53" t="s">
        <v>197</v>
      </c>
      <c r="C53" t="s">
        <v>35</v>
      </c>
      <c r="D53" t="s">
        <v>36</v>
      </c>
      <c r="E53" t="s">
        <v>37</v>
      </c>
      <c r="F53" t="s">
        <v>37</v>
      </c>
      <c r="G53" t="s">
        <v>37</v>
      </c>
      <c r="J53" t="s">
        <v>43</v>
      </c>
      <c r="K53">
        <v>310757665</v>
      </c>
      <c r="L53" t="s">
        <v>198</v>
      </c>
      <c r="M53">
        <v>7.66</v>
      </c>
      <c r="O53" t="s">
        <v>199</v>
      </c>
      <c r="P53" t="s">
        <v>46</v>
      </c>
      <c r="Q53">
        <v>8530.8</v>
      </c>
      <c r="R53" t="s">
        <v>48</v>
      </c>
      <c r="W53">
        <v>0.0</v>
      </c>
      <c r="X53">
        <v>0.0</v>
      </c>
      <c r="Y53">
        <v>0.0</v>
      </c>
      <c r="Z53">
        <v>0.0</v>
      </c>
      <c r="AA53">
        <v>0.0</v>
      </c>
      <c r="AB53">
        <v>0.0</v>
      </c>
      <c r="AC53">
        <v>0.0</v>
      </c>
      <c r="AD53">
        <v>0.0</v>
      </c>
      <c r="AG53" t="str">
        <f>HYPERLINK("https://fwc26.smmarta.com/nomenclature/763/images-download", "Download")</f>
        <v>0</v>
      </c>
    </row>
    <row r="54" spans="1:33">
      <c r="A54" t="s">
        <v>200</v>
      </c>
      <c r="B54" t="s">
        <v>201</v>
      </c>
      <c r="C54" t="s">
        <v>35</v>
      </c>
      <c r="D54" t="s">
        <v>36</v>
      </c>
      <c r="E54" t="s">
        <v>37</v>
      </c>
      <c r="F54" t="s">
        <v>113</v>
      </c>
      <c r="G54" t="s">
        <v>37</v>
      </c>
      <c r="H54">
        <v>1</v>
      </c>
      <c r="J54" t="s">
        <v>62</v>
      </c>
      <c r="K54">
        <v>827446</v>
      </c>
      <c r="M54">
        <v>24.99</v>
      </c>
      <c r="N54" t="s">
        <v>169</v>
      </c>
      <c r="P54" t="s">
        <v>87</v>
      </c>
      <c r="R54" t="s">
        <v>170</v>
      </c>
      <c r="S54">
        <v>1250</v>
      </c>
      <c r="T54">
        <v>1</v>
      </c>
      <c r="U54">
        <v>1250</v>
      </c>
      <c r="V54">
        <v>1</v>
      </c>
      <c r="W54">
        <v>0.0</v>
      </c>
      <c r="X54">
        <v>0.0</v>
      </c>
      <c r="Y54">
        <v>0.0</v>
      </c>
      <c r="Z54">
        <v>0.0</v>
      </c>
      <c r="AA54">
        <v>0.0</v>
      </c>
      <c r="AB54">
        <v>0.0</v>
      </c>
      <c r="AC54">
        <v>0.0</v>
      </c>
      <c r="AD54">
        <v>0.0</v>
      </c>
      <c r="AG54" t="str">
        <f>HYPERLINK("https://fwc26.smmarta.com/nomenclature/582/images-download", "Download")</f>
        <v>0</v>
      </c>
    </row>
    <row r="55" spans="1:33">
      <c r="A55" t="s">
        <v>202</v>
      </c>
      <c r="B55" t="s">
        <v>203</v>
      </c>
      <c r="C55" t="s">
        <v>35</v>
      </c>
      <c r="D55" t="s">
        <v>204</v>
      </c>
      <c r="E55" t="s">
        <v>37</v>
      </c>
      <c r="F55" t="s">
        <v>113</v>
      </c>
      <c r="G55" t="s">
        <v>37</v>
      </c>
      <c r="J55" t="s">
        <v>43</v>
      </c>
      <c r="K55">
        <v>308139397</v>
      </c>
      <c r="L55" t="s">
        <v>205</v>
      </c>
      <c r="M55">
        <v>28.34</v>
      </c>
      <c r="N55" t="s">
        <v>169</v>
      </c>
      <c r="O55" t="s">
        <v>206</v>
      </c>
      <c r="P55" t="s">
        <v>46</v>
      </c>
      <c r="Q55">
        <v>3006.5</v>
      </c>
      <c r="R55" t="s">
        <v>144</v>
      </c>
      <c r="S55">
        <v>160</v>
      </c>
      <c r="T55">
        <v>1</v>
      </c>
      <c r="U55">
        <v>160</v>
      </c>
      <c r="V55">
        <v>1</v>
      </c>
      <c r="W55">
        <v>0.0</v>
      </c>
      <c r="X55">
        <v>0.0</v>
      </c>
      <c r="Y55">
        <v>0.0</v>
      </c>
      <c r="Z55">
        <v>0.0</v>
      </c>
      <c r="AA55">
        <v>0.0</v>
      </c>
      <c r="AB55">
        <v>0.0</v>
      </c>
      <c r="AC55">
        <v>0.0</v>
      </c>
      <c r="AD55">
        <v>0.0</v>
      </c>
      <c r="AE55" t="s">
        <v>207</v>
      </c>
      <c r="AG55" t="str">
        <f>HYPERLINK("https://fwc26.smmarta.com/nomenclature/964/images-download", "Download")</f>
        <v>0</v>
      </c>
    </row>
    <row r="56" spans="1:33">
      <c r="A56" t="s">
        <v>208</v>
      </c>
      <c r="B56" t="s">
        <v>209</v>
      </c>
      <c r="C56" t="s">
        <v>35</v>
      </c>
      <c r="D56" t="s">
        <v>36</v>
      </c>
      <c r="E56" t="s">
        <v>37</v>
      </c>
      <c r="F56" t="s">
        <v>113</v>
      </c>
      <c r="G56" t="s">
        <v>37</v>
      </c>
      <c r="J56" t="s">
        <v>51</v>
      </c>
      <c r="K56">
        <v>827446</v>
      </c>
      <c r="M56">
        <v>19</v>
      </c>
      <c r="W56">
        <v>0.0</v>
      </c>
      <c r="X56">
        <v>0.0</v>
      </c>
      <c r="Y56">
        <v>0.0</v>
      </c>
      <c r="Z56">
        <v>0.0</v>
      </c>
      <c r="AA56">
        <v>0.0</v>
      </c>
      <c r="AB56">
        <v>0.0</v>
      </c>
      <c r="AC56">
        <v>0.0</v>
      </c>
      <c r="AD56">
        <v>0.0</v>
      </c>
    </row>
    <row r="57" spans="1:33">
      <c r="A57" t="s">
        <v>210</v>
      </c>
      <c r="B57" t="s">
        <v>211</v>
      </c>
      <c r="C57" t="s">
        <v>35</v>
      </c>
      <c r="D57" t="s">
        <v>204</v>
      </c>
      <c r="E57" t="s">
        <v>37</v>
      </c>
      <c r="F57" t="s">
        <v>113</v>
      </c>
      <c r="G57" t="s">
        <v>37</v>
      </c>
      <c r="J57" t="s">
        <v>72</v>
      </c>
      <c r="K57" t="s">
        <v>212</v>
      </c>
      <c r="M57">
        <v>34.18</v>
      </c>
      <c r="N57" t="s">
        <v>169</v>
      </c>
      <c r="W57">
        <v>0.0</v>
      </c>
      <c r="X57">
        <v>0.0</v>
      </c>
      <c r="Y57">
        <v>0.0</v>
      </c>
      <c r="Z57">
        <v>0.0</v>
      </c>
      <c r="AA57">
        <v>0.0</v>
      </c>
      <c r="AB57">
        <v>0.0</v>
      </c>
      <c r="AC57">
        <v>0.0</v>
      </c>
      <c r="AD57">
        <v>0.0</v>
      </c>
    </row>
    <row r="58" spans="1:33">
      <c r="A58" t="s">
        <v>213</v>
      </c>
      <c r="B58" t="s">
        <v>214</v>
      </c>
      <c r="C58" t="s">
        <v>35</v>
      </c>
      <c r="D58" t="s">
        <v>204</v>
      </c>
      <c r="E58" t="s">
        <v>37</v>
      </c>
      <c r="F58" t="s">
        <v>113</v>
      </c>
      <c r="G58" t="s">
        <v>37</v>
      </c>
      <c r="J58" t="s">
        <v>76</v>
      </c>
      <c r="K58">
        <v>6302</v>
      </c>
      <c r="M58">
        <v>46.78</v>
      </c>
      <c r="N58" t="s">
        <v>169</v>
      </c>
      <c r="W58">
        <v>0.0</v>
      </c>
      <c r="X58">
        <v>0.0</v>
      </c>
      <c r="Y58">
        <v>0.0</v>
      </c>
      <c r="Z58">
        <v>0.0</v>
      </c>
      <c r="AA58">
        <v>0.0</v>
      </c>
      <c r="AB58">
        <v>0.0</v>
      </c>
      <c r="AC58">
        <v>0.0</v>
      </c>
      <c r="AD58">
        <v>0.0</v>
      </c>
    </row>
    <row r="59" spans="1:33">
      <c r="A59" t="s">
        <v>215</v>
      </c>
      <c r="B59" t="s">
        <v>216</v>
      </c>
      <c r="C59" t="s">
        <v>35</v>
      </c>
      <c r="D59" t="s">
        <v>36</v>
      </c>
      <c r="E59" t="s">
        <v>37</v>
      </c>
      <c r="F59" t="s">
        <v>37</v>
      </c>
      <c r="G59" t="s">
        <v>37</v>
      </c>
      <c r="H59">
        <v>1</v>
      </c>
      <c r="J59" t="s">
        <v>62</v>
      </c>
      <c r="K59">
        <v>781454</v>
      </c>
      <c r="M59">
        <v>20.08</v>
      </c>
      <c r="P59" t="s">
        <v>87</v>
      </c>
      <c r="Q59" t="s">
        <v>217</v>
      </c>
      <c r="R59" t="s">
        <v>170</v>
      </c>
      <c r="S59">
        <v>72</v>
      </c>
      <c r="T59">
        <v>1</v>
      </c>
      <c r="U59">
        <v>72</v>
      </c>
      <c r="V59">
        <v>1</v>
      </c>
      <c r="W59">
        <v>0.0</v>
      </c>
      <c r="X59">
        <v>0.0</v>
      </c>
      <c r="Y59">
        <v>0.0</v>
      </c>
      <c r="Z59">
        <v>0.0</v>
      </c>
      <c r="AA59">
        <v>0.0</v>
      </c>
      <c r="AB59">
        <v>0.0</v>
      </c>
      <c r="AC59">
        <v>0.0</v>
      </c>
      <c r="AD59">
        <v>0.0</v>
      </c>
      <c r="AG59" t="str">
        <f>HYPERLINK("https://fwc26.smmarta.com/nomenclature/583/images-download", "Download")</f>
        <v>0</v>
      </c>
    </row>
    <row r="60" spans="1:33">
      <c r="A60" t="s">
        <v>218</v>
      </c>
      <c r="B60" t="s">
        <v>219</v>
      </c>
      <c r="C60" t="s">
        <v>35</v>
      </c>
      <c r="D60" t="s">
        <v>36</v>
      </c>
      <c r="E60" t="s">
        <v>37</v>
      </c>
      <c r="F60" t="s">
        <v>37</v>
      </c>
      <c r="G60" t="s">
        <v>37</v>
      </c>
      <c r="H60">
        <v>1</v>
      </c>
      <c r="J60" t="s">
        <v>62</v>
      </c>
      <c r="K60">
        <v>781454</v>
      </c>
      <c r="M60">
        <v>20.08</v>
      </c>
      <c r="P60" t="s">
        <v>63</v>
      </c>
      <c r="Q60" t="s">
        <v>143</v>
      </c>
      <c r="R60" t="s">
        <v>170</v>
      </c>
      <c r="S60">
        <v>20</v>
      </c>
      <c r="T60">
        <v>1</v>
      </c>
      <c r="U60">
        <v>20</v>
      </c>
      <c r="V60">
        <v>1</v>
      </c>
      <c r="W60">
        <v>0.0</v>
      </c>
      <c r="X60">
        <v>0.0</v>
      </c>
      <c r="Y60">
        <v>0.0</v>
      </c>
      <c r="Z60">
        <v>0.0</v>
      </c>
      <c r="AA60">
        <v>0.0</v>
      </c>
      <c r="AB60">
        <v>0.0</v>
      </c>
      <c r="AC60">
        <v>0.0</v>
      </c>
      <c r="AD60">
        <v>0.0</v>
      </c>
      <c r="AG60" t="str">
        <f>HYPERLINK("https://fwc26.smmarta.com/nomenclature/584/images-download", "Download")</f>
        <v>0</v>
      </c>
    </row>
    <row r="61" spans="1:33">
      <c r="A61" t="s">
        <v>220</v>
      </c>
      <c r="B61" t="s">
        <v>221</v>
      </c>
      <c r="C61" t="s">
        <v>35</v>
      </c>
      <c r="D61" t="s">
        <v>36</v>
      </c>
      <c r="E61" t="s">
        <v>37</v>
      </c>
      <c r="F61" t="s">
        <v>37</v>
      </c>
      <c r="G61" t="s">
        <v>37</v>
      </c>
      <c r="J61" t="s">
        <v>43</v>
      </c>
      <c r="K61">
        <v>328027050</v>
      </c>
      <c r="L61" t="s">
        <v>222</v>
      </c>
      <c r="M61">
        <v>13.98</v>
      </c>
      <c r="O61" t="s">
        <v>223</v>
      </c>
      <c r="P61" t="s">
        <v>46</v>
      </c>
      <c r="Q61">
        <v>3923.1</v>
      </c>
      <c r="R61" t="s">
        <v>144</v>
      </c>
      <c r="S61">
        <v>40</v>
      </c>
      <c r="T61">
        <v>1</v>
      </c>
      <c r="U61">
        <v>40</v>
      </c>
      <c r="V61">
        <v>1</v>
      </c>
      <c r="W61">
        <v>0.0</v>
      </c>
      <c r="X61">
        <v>0.0</v>
      </c>
      <c r="Y61">
        <v>0.0</v>
      </c>
      <c r="Z61">
        <v>0.0</v>
      </c>
      <c r="AA61">
        <v>0.0</v>
      </c>
      <c r="AB61">
        <v>0.0</v>
      </c>
      <c r="AC61">
        <v>0.0</v>
      </c>
      <c r="AD61">
        <v>0.0</v>
      </c>
      <c r="AG61" t="str">
        <f>HYPERLINK("https://fwc26.smmarta.com/nomenclature/1008/images-download", "Download")</f>
        <v>0</v>
      </c>
    </row>
    <row r="62" spans="1:33">
      <c r="A62" t="s">
        <v>224</v>
      </c>
      <c r="B62" t="s">
        <v>225</v>
      </c>
      <c r="C62" t="s">
        <v>35</v>
      </c>
      <c r="D62" t="s">
        <v>36</v>
      </c>
      <c r="E62" t="s">
        <v>37</v>
      </c>
      <c r="F62" t="s">
        <v>37</v>
      </c>
      <c r="G62" t="s">
        <v>37</v>
      </c>
      <c r="J62" t="s">
        <v>51</v>
      </c>
      <c r="K62">
        <v>781454</v>
      </c>
      <c r="M62">
        <v>20.08</v>
      </c>
    </row>
    <row r="63" spans="1:33">
      <c r="A63" t="s">
        <v>226</v>
      </c>
      <c r="B63" t="s">
        <v>227</v>
      </c>
      <c r="C63" t="s">
        <v>35</v>
      </c>
      <c r="D63" t="s">
        <v>228</v>
      </c>
      <c r="E63" t="s">
        <v>37</v>
      </c>
      <c r="F63" t="s">
        <v>113</v>
      </c>
      <c r="G63" t="s">
        <v>37</v>
      </c>
      <c r="H63">
        <v>4</v>
      </c>
      <c r="J63" t="s">
        <v>51</v>
      </c>
      <c r="K63">
        <v>503573</v>
      </c>
      <c r="M63">
        <v>8.95</v>
      </c>
      <c r="W63">
        <v>0.0</v>
      </c>
      <c r="X63">
        <v>0.0</v>
      </c>
      <c r="Y63">
        <v>0.0</v>
      </c>
      <c r="Z63">
        <v>0.0</v>
      </c>
      <c r="AA63">
        <v>0.0</v>
      </c>
      <c r="AB63">
        <v>0.0</v>
      </c>
      <c r="AC63">
        <v>0.0</v>
      </c>
      <c r="AD63">
        <v>0.0</v>
      </c>
    </row>
    <row r="64" spans="1:33">
      <c r="A64" t="s">
        <v>229</v>
      </c>
      <c r="B64" t="s">
        <v>230</v>
      </c>
      <c r="C64" t="s">
        <v>35</v>
      </c>
      <c r="D64" t="s">
        <v>228</v>
      </c>
      <c r="E64" t="s">
        <v>37</v>
      </c>
      <c r="F64" t="s">
        <v>113</v>
      </c>
      <c r="G64" t="s">
        <v>37</v>
      </c>
      <c r="H64">
        <v>10</v>
      </c>
      <c r="J64" t="s">
        <v>43</v>
      </c>
      <c r="K64">
        <v>100351421</v>
      </c>
      <c r="L64" t="s">
        <v>231</v>
      </c>
      <c r="M64">
        <v>11.87</v>
      </c>
      <c r="N64" t="s">
        <v>169</v>
      </c>
      <c r="O64" t="s">
        <v>232</v>
      </c>
      <c r="P64" t="s">
        <v>46</v>
      </c>
      <c r="Q64">
        <v>8506.1</v>
      </c>
      <c r="R64" t="s">
        <v>48</v>
      </c>
      <c r="S64">
        <v>63360</v>
      </c>
      <c r="T64">
        <v>1</v>
      </c>
      <c r="W64">
        <v>0.0</v>
      </c>
      <c r="X64">
        <v>0.0</v>
      </c>
      <c r="Y64">
        <v>0.0</v>
      </c>
      <c r="Z64">
        <v>0.0</v>
      </c>
      <c r="AA64">
        <v>0.0</v>
      </c>
      <c r="AB64">
        <v>0.0</v>
      </c>
      <c r="AC64">
        <v>0.0</v>
      </c>
      <c r="AD64">
        <v>0.0</v>
      </c>
      <c r="AG64" t="str">
        <f>HYPERLINK("https://fwc26.smmarta.com/nomenclature/1009/images-download", "Download")</f>
        <v>0</v>
      </c>
    </row>
    <row r="65" spans="1:33">
      <c r="A65" t="s">
        <v>233</v>
      </c>
      <c r="B65" t="s">
        <v>234</v>
      </c>
      <c r="C65" t="s">
        <v>35</v>
      </c>
      <c r="D65" t="s">
        <v>228</v>
      </c>
      <c r="E65" t="s">
        <v>37</v>
      </c>
      <c r="F65" t="s">
        <v>113</v>
      </c>
      <c r="G65" t="s">
        <v>37</v>
      </c>
      <c r="H65">
        <v>8</v>
      </c>
      <c r="J65" t="s">
        <v>51</v>
      </c>
      <c r="K65">
        <v>411934</v>
      </c>
      <c r="M65">
        <v>4.74</v>
      </c>
      <c r="W65">
        <v>0.0</v>
      </c>
      <c r="X65">
        <v>0.0</v>
      </c>
      <c r="Y65">
        <v>0.0</v>
      </c>
      <c r="Z65">
        <v>0.0</v>
      </c>
      <c r="AA65">
        <v>0.0</v>
      </c>
      <c r="AB65">
        <v>0.0</v>
      </c>
      <c r="AC65">
        <v>0.0</v>
      </c>
      <c r="AD65">
        <v>0.0</v>
      </c>
    </row>
    <row r="66" spans="1:33">
      <c r="A66" t="s">
        <v>235</v>
      </c>
      <c r="B66" t="s">
        <v>236</v>
      </c>
      <c r="C66" t="s">
        <v>35</v>
      </c>
      <c r="D66" t="s">
        <v>36</v>
      </c>
      <c r="E66" t="s">
        <v>37</v>
      </c>
      <c r="F66" t="s">
        <v>113</v>
      </c>
      <c r="G66" t="s">
        <v>37</v>
      </c>
      <c r="H66">
        <v>8</v>
      </c>
      <c r="J66" t="s">
        <v>72</v>
      </c>
      <c r="K66" t="s">
        <v>237</v>
      </c>
      <c r="M66">
        <v>11.73</v>
      </c>
      <c r="N66" t="s">
        <v>169</v>
      </c>
      <c r="W66">
        <v>0.0</v>
      </c>
      <c r="X66">
        <v>0.0</v>
      </c>
      <c r="Y66">
        <v>0.0</v>
      </c>
      <c r="Z66">
        <v>0.0</v>
      </c>
      <c r="AA66">
        <v>0.0</v>
      </c>
      <c r="AB66">
        <v>0.0</v>
      </c>
      <c r="AC66">
        <v>0.0</v>
      </c>
      <c r="AD66">
        <v>0.0</v>
      </c>
    </row>
    <row r="67" spans="1:33">
      <c r="A67" t="s">
        <v>238</v>
      </c>
      <c r="B67" t="s">
        <v>239</v>
      </c>
      <c r="C67" t="s">
        <v>35</v>
      </c>
      <c r="D67" t="s">
        <v>36</v>
      </c>
      <c r="E67" t="s">
        <v>37</v>
      </c>
      <c r="F67" t="s">
        <v>113</v>
      </c>
      <c r="G67" t="s">
        <v>37</v>
      </c>
      <c r="H67">
        <v>10</v>
      </c>
      <c r="J67" t="s">
        <v>76</v>
      </c>
      <c r="K67">
        <v>1027706</v>
      </c>
      <c r="M67">
        <v>7.44</v>
      </c>
      <c r="N67" t="s">
        <v>169</v>
      </c>
      <c r="W67">
        <v>0.0</v>
      </c>
      <c r="X67">
        <v>0.0</v>
      </c>
      <c r="Y67">
        <v>0.0</v>
      </c>
      <c r="Z67">
        <v>0.0</v>
      </c>
      <c r="AA67">
        <v>0.0</v>
      </c>
      <c r="AB67">
        <v>0.0</v>
      </c>
      <c r="AC67">
        <v>0.0</v>
      </c>
      <c r="AD67">
        <v>0.0</v>
      </c>
    </row>
    <row r="68" spans="1:33">
      <c r="A68" t="s">
        <v>240</v>
      </c>
      <c r="B68" t="s">
        <v>241</v>
      </c>
      <c r="C68" t="s">
        <v>35</v>
      </c>
      <c r="D68" t="s">
        <v>228</v>
      </c>
      <c r="E68" t="s">
        <v>37</v>
      </c>
      <c r="F68" t="s">
        <v>113</v>
      </c>
      <c r="G68" t="s">
        <v>37</v>
      </c>
      <c r="H68">
        <v>10</v>
      </c>
      <c r="J68" t="s">
        <v>43</v>
      </c>
      <c r="K68">
        <v>100351423</v>
      </c>
      <c r="L68" t="s">
        <v>231</v>
      </c>
      <c r="M68">
        <v>11.87</v>
      </c>
      <c r="N68" t="s">
        <v>169</v>
      </c>
      <c r="O68" t="s">
        <v>242</v>
      </c>
      <c r="P68" t="s">
        <v>46</v>
      </c>
      <c r="Q68">
        <v>8506.1</v>
      </c>
      <c r="R68" t="s">
        <v>48</v>
      </c>
      <c r="S68">
        <v>63360</v>
      </c>
      <c r="T68">
        <v>1</v>
      </c>
      <c r="W68">
        <v>0.0</v>
      </c>
      <c r="X68">
        <v>0.0</v>
      </c>
      <c r="Y68">
        <v>0.0</v>
      </c>
      <c r="Z68">
        <v>0.0</v>
      </c>
      <c r="AA68">
        <v>0.0</v>
      </c>
      <c r="AB68">
        <v>0.0</v>
      </c>
      <c r="AC68">
        <v>0.0</v>
      </c>
      <c r="AD68">
        <v>0.0</v>
      </c>
      <c r="AG68" t="str">
        <f>HYPERLINK("https://fwc26.smmarta.com/nomenclature/1010/images-download", "Download")</f>
        <v>0</v>
      </c>
    </row>
    <row r="69" spans="1:33">
      <c r="A69" t="s">
        <v>243</v>
      </c>
      <c r="B69" t="s">
        <v>244</v>
      </c>
      <c r="C69" t="s">
        <v>35</v>
      </c>
      <c r="D69" t="s">
        <v>228</v>
      </c>
      <c r="E69" t="s">
        <v>37</v>
      </c>
      <c r="F69" t="s">
        <v>113</v>
      </c>
      <c r="G69" t="s">
        <v>37</v>
      </c>
      <c r="H69">
        <v>8</v>
      </c>
      <c r="J69" t="s">
        <v>51</v>
      </c>
      <c r="K69">
        <v>318923</v>
      </c>
      <c r="M69">
        <v>4.74</v>
      </c>
      <c r="W69">
        <v>0.0</v>
      </c>
      <c r="X69">
        <v>0.0</v>
      </c>
      <c r="Y69">
        <v>0.0</v>
      </c>
      <c r="Z69">
        <v>0.0</v>
      </c>
      <c r="AA69">
        <v>0.0</v>
      </c>
      <c r="AB69">
        <v>0.0</v>
      </c>
      <c r="AC69">
        <v>0.0</v>
      </c>
      <c r="AD69">
        <v>0.0</v>
      </c>
    </row>
    <row r="70" spans="1:33">
      <c r="A70" t="s">
        <v>245</v>
      </c>
      <c r="B70" t="s">
        <v>246</v>
      </c>
      <c r="C70" t="s">
        <v>35</v>
      </c>
      <c r="D70" t="s">
        <v>36</v>
      </c>
      <c r="E70" t="s">
        <v>37</v>
      </c>
      <c r="F70" t="s">
        <v>113</v>
      </c>
      <c r="G70" t="s">
        <v>37</v>
      </c>
      <c r="H70">
        <v>8</v>
      </c>
      <c r="J70" t="s">
        <v>72</v>
      </c>
      <c r="K70" t="s">
        <v>247</v>
      </c>
      <c r="M70">
        <v>11.73</v>
      </c>
      <c r="N70" t="s">
        <v>169</v>
      </c>
      <c r="W70">
        <v>0.0</v>
      </c>
      <c r="X70">
        <v>0.0</v>
      </c>
      <c r="Y70">
        <v>0.0</v>
      </c>
      <c r="Z70">
        <v>0.0</v>
      </c>
      <c r="AA70">
        <v>0.0</v>
      </c>
      <c r="AB70">
        <v>0.0</v>
      </c>
      <c r="AC70">
        <v>0.0</v>
      </c>
      <c r="AD70">
        <v>0.0</v>
      </c>
    </row>
    <row r="71" spans="1:33">
      <c r="A71" t="s">
        <v>248</v>
      </c>
      <c r="B71" t="s">
        <v>249</v>
      </c>
      <c r="C71" t="s">
        <v>35</v>
      </c>
      <c r="D71" t="s">
        <v>36</v>
      </c>
      <c r="E71" t="s">
        <v>37</v>
      </c>
      <c r="F71" t="s">
        <v>113</v>
      </c>
      <c r="G71" t="s">
        <v>37</v>
      </c>
      <c r="H71">
        <v>10</v>
      </c>
      <c r="J71" t="s">
        <v>76</v>
      </c>
      <c r="K71">
        <v>214705</v>
      </c>
      <c r="M71">
        <v>7.44</v>
      </c>
      <c r="N71" t="s">
        <v>169</v>
      </c>
      <c r="W71">
        <v>0.0</v>
      </c>
      <c r="X71">
        <v>0.0</v>
      </c>
      <c r="Y71">
        <v>0.0</v>
      </c>
      <c r="Z71">
        <v>0.0</v>
      </c>
      <c r="AA71">
        <v>0.0</v>
      </c>
      <c r="AB71">
        <v>0.0</v>
      </c>
      <c r="AC71">
        <v>0.0</v>
      </c>
      <c r="AD71">
        <v>0.0</v>
      </c>
    </row>
    <row r="72" spans="1:33">
      <c r="A72" t="s">
        <v>250</v>
      </c>
      <c r="B72" t="s">
        <v>251</v>
      </c>
      <c r="C72" t="s">
        <v>35</v>
      </c>
      <c r="D72" t="s">
        <v>228</v>
      </c>
      <c r="E72" t="s">
        <v>37</v>
      </c>
      <c r="F72" t="s">
        <v>113</v>
      </c>
      <c r="G72" t="s">
        <v>37</v>
      </c>
      <c r="H72">
        <v>4</v>
      </c>
      <c r="J72" t="s">
        <v>72</v>
      </c>
      <c r="K72" t="s">
        <v>252</v>
      </c>
      <c r="M72">
        <v>10.7</v>
      </c>
      <c r="N72" t="s">
        <v>169</v>
      </c>
      <c r="W72">
        <v>0.0</v>
      </c>
      <c r="X72">
        <v>0.0</v>
      </c>
      <c r="Y72">
        <v>0.0</v>
      </c>
      <c r="Z72">
        <v>0.0</v>
      </c>
      <c r="AA72">
        <v>0.0</v>
      </c>
      <c r="AB72">
        <v>0.0</v>
      </c>
      <c r="AC72">
        <v>0.0</v>
      </c>
      <c r="AD72">
        <v>0.0</v>
      </c>
    </row>
    <row r="73" spans="1:33">
      <c r="A73" t="s">
        <v>253</v>
      </c>
      <c r="B73" t="s">
        <v>254</v>
      </c>
      <c r="C73" t="s">
        <v>35</v>
      </c>
      <c r="D73" t="s">
        <v>228</v>
      </c>
      <c r="E73" t="s">
        <v>37</v>
      </c>
      <c r="F73" t="s">
        <v>113</v>
      </c>
      <c r="G73" t="s">
        <v>37</v>
      </c>
      <c r="H73">
        <v>2</v>
      </c>
      <c r="J73" t="s">
        <v>76</v>
      </c>
      <c r="M73">
        <v>8.44</v>
      </c>
      <c r="N73" t="s">
        <v>169</v>
      </c>
      <c r="P73" t="s">
        <v>46</v>
      </c>
    </row>
    <row r="74" spans="1:33">
      <c r="A74" t="s">
        <v>255</v>
      </c>
      <c r="B74" t="s">
        <v>256</v>
      </c>
      <c r="C74" t="s">
        <v>35</v>
      </c>
      <c r="D74" t="s">
        <v>228</v>
      </c>
      <c r="E74" t="s">
        <v>37</v>
      </c>
      <c r="F74" t="s">
        <v>113</v>
      </c>
      <c r="G74" t="s">
        <v>37</v>
      </c>
      <c r="H74">
        <v>8</v>
      </c>
      <c r="J74" t="s">
        <v>43</v>
      </c>
      <c r="K74">
        <v>205848943</v>
      </c>
      <c r="L74" t="s">
        <v>257</v>
      </c>
      <c r="M74">
        <v>16.87</v>
      </c>
      <c r="N74" t="s">
        <v>169</v>
      </c>
      <c r="O74" t="s">
        <v>258</v>
      </c>
      <c r="P74" t="s">
        <v>46</v>
      </c>
      <c r="Q74">
        <v>8506.1</v>
      </c>
      <c r="R74" t="s">
        <v>48</v>
      </c>
      <c r="S74">
        <v>31000</v>
      </c>
      <c r="T74">
        <v>1</v>
      </c>
      <c r="W74">
        <v>0.0</v>
      </c>
      <c r="X74">
        <v>0.0</v>
      </c>
      <c r="Y74">
        <v>0.0</v>
      </c>
      <c r="Z74">
        <v>0.0</v>
      </c>
      <c r="AA74">
        <v>0.0</v>
      </c>
      <c r="AB74">
        <v>0.0</v>
      </c>
      <c r="AC74">
        <v>0.0</v>
      </c>
      <c r="AD74">
        <v>0.0</v>
      </c>
      <c r="AG74" t="str">
        <f>HYPERLINK("https://fwc26.smmarta.com/nomenclature/1026/images-download", "Download")</f>
        <v>0</v>
      </c>
    </row>
    <row r="75" spans="1:33">
      <c r="A75" t="s">
        <v>259</v>
      </c>
      <c r="B75" t="s">
        <v>260</v>
      </c>
      <c r="C75" t="s">
        <v>35</v>
      </c>
      <c r="D75" t="s">
        <v>228</v>
      </c>
      <c r="E75" t="s">
        <v>37</v>
      </c>
      <c r="F75" t="s">
        <v>113</v>
      </c>
      <c r="G75" t="s">
        <v>37</v>
      </c>
      <c r="H75">
        <v>4</v>
      </c>
      <c r="J75" t="s">
        <v>51</v>
      </c>
      <c r="K75">
        <v>318956</v>
      </c>
      <c r="M75">
        <v>5.75</v>
      </c>
      <c r="W75">
        <v>0.0</v>
      </c>
      <c r="X75">
        <v>0.0</v>
      </c>
      <c r="Y75">
        <v>0.0</v>
      </c>
      <c r="Z75">
        <v>0.0</v>
      </c>
      <c r="AA75">
        <v>0.0</v>
      </c>
      <c r="AB75">
        <v>0.0</v>
      </c>
      <c r="AC75">
        <v>0.0</v>
      </c>
      <c r="AD75">
        <v>0.0</v>
      </c>
    </row>
    <row r="76" spans="1:33">
      <c r="A76" t="s">
        <v>261</v>
      </c>
      <c r="B76" t="s">
        <v>251</v>
      </c>
      <c r="C76" t="s">
        <v>35</v>
      </c>
      <c r="D76" t="s">
        <v>36</v>
      </c>
      <c r="E76" t="s">
        <v>37</v>
      </c>
      <c r="F76" t="s">
        <v>113</v>
      </c>
      <c r="G76" t="s">
        <v>37</v>
      </c>
      <c r="H76">
        <v>4</v>
      </c>
      <c r="J76" t="s">
        <v>72</v>
      </c>
      <c r="K76" t="s">
        <v>262</v>
      </c>
      <c r="M76">
        <v>10.98</v>
      </c>
      <c r="N76" t="s">
        <v>169</v>
      </c>
      <c r="W76">
        <v>0.0</v>
      </c>
      <c r="X76">
        <v>0.0</v>
      </c>
      <c r="Y76">
        <v>0.0</v>
      </c>
      <c r="Z76">
        <v>0.0</v>
      </c>
      <c r="AA76">
        <v>0.0</v>
      </c>
      <c r="AB76">
        <v>0.0</v>
      </c>
      <c r="AC76">
        <v>0.0</v>
      </c>
      <c r="AD76">
        <v>0.0</v>
      </c>
    </row>
    <row r="77" spans="1:33">
      <c r="A77" t="s">
        <v>263</v>
      </c>
      <c r="B77" t="s">
        <v>254</v>
      </c>
      <c r="C77" t="s">
        <v>35</v>
      </c>
      <c r="D77" t="s">
        <v>36</v>
      </c>
      <c r="E77" t="s">
        <v>37</v>
      </c>
      <c r="F77" t="s">
        <v>113</v>
      </c>
      <c r="G77" t="s">
        <v>37</v>
      </c>
      <c r="H77">
        <v>2</v>
      </c>
      <c r="J77" t="s">
        <v>76</v>
      </c>
      <c r="K77">
        <v>214715</v>
      </c>
      <c r="M77">
        <v>8.44</v>
      </c>
      <c r="N77" t="s">
        <v>169</v>
      </c>
      <c r="W77">
        <v>0.0</v>
      </c>
      <c r="X77">
        <v>0.0</v>
      </c>
      <c r="Y77">
        <v>0.0</v>
      </c>
      <c r="Z77">
        <v>0.0</v>
      </c>
      <c r="AA77">
        <v>0.0</v>
      </c>
      <c r="AB77">
        <v>0.0</v>
      </c>
      <c r="AC77">
        <v>0.0</v>
      </c>
      <c r="AD77">
        <v>0.0</v>
      </c>
    </row>
    <row r="78" spans="1:33">
      <c r="A78" t="s">
        <v>264</v>
      </c>
      <c r="B78" t="s">
        <v>265</v>
      </c>
      <c r="C78" t="s">
        <v>35</v>
      </c>
      <c r="D78" t="s">
        <v>228</v>
      </c>
      <c r="E78" t="s">
        <v>37</v>
      </c>
      <c r="F78" t="s">
        <v>113</v>
      </c>
      <c r="G78" t="s">
        <v>37</v>
      </c>
      <c r="H78">
        <v>4</v>
      </c>
      <c r="J78" t="s">
        <v>72</v>
      </c>
      <c r="M78">
        <v>10.98</v>
      </c>
      <c r="N78" t="s">
        <v>169</v>
      </c>
      <c r="W78">
        <v>0.0</v>
      </c>
      <c r="X78">
        <v>0.0</v>
      </c>
      <c r="Y78">
        <v>0.0</v>
      </c>
      <c r="Z78">
        <v>0.0</v>
      </c>
      <c r="AA78">
        <v>0.0</v>
      </c>
      <c r="AB78">
        <v>0.0</v>
      </c>
      <c r="AC78">
        <v>0.0</v>
      </c>
      <c r="AD78">
        <v>0.0</v>
      </c>
    </row>
    <row r="79" spans="1:33">
      <c r="A79" t="s">
        <v>266</v>
      </c>
      <c r="B79" t="s">
        <v>267</v>
      </c>
      <c r="C79" t="s">
        <v>35</v>
      </c>
      <c r="D79" t="s">
        <v>228</v>
      </c>
      <c r="E79" t="s">
        <v>37</v>
      </c>
      <c r="F79" t="s">
        <v>113</v>
      </c>
      <c r="G79" t="s">
        <v>37</v>
      </c>
      <c r="H79">
        <v>2</v>
      </c>
      <c r="J79" t="s">
        <v>76</v>
      </c>
      <c r="M79">
        <v>8.61</v>
      </c>
      <c r="N79" t="s">
        <v>169</v>
      </c>
    </row>
    <row r="80" spans="1:33">
      <c r="A80" t="s">
        <v>268</v>
      </c>
      <c r="B80" t="s">
        <v>269</v>
      </c>
      <c r="C80" t="s">
        <v>35</v>
      </c>
      <c r="D80" t="s">
        <v>228</v>
      </c>
      <c r="E80" t="s">
        <v>37</v>
      </c>
      <c r="F80" t="s">
        <v>113</v>
      </c>
      <c r="G80" t="s">
        <v>37</v>
      </c>
      <c r="H80">
        <v>4</v>
      </c>
      <c r="J80" t="s">
        <v>51</v>
      </c>
      <c r="M80">
        <v>5.75</v>
      </c>
      <c r="W80">
        <v>0.0</v>
      </c>
      <c r="X80">
        <v>0.0</v>
      </c>
      <c r="Y80">
        <v>0.0</v>
      </c>
      <c r="Z80">
        <v>0.0</v>
      </c>
      <c r="AA80">
        <v>0.0</v>
      </c>
      <c r="AB80">
        <v>0.0</v>
      </c>
      <c r="AC80">
        <v>0.0</v>
      </c>
      <c r="AD80">
        <v>0.0</v>
      </c>
    </row>
    <row r="81" spans="1:33">
      <c r="A81" t="s">
        <v>270</v>
      </c>
      <c r="B81" t="s">
        <v>271</v>
      </c>
      <c r="C81" t="s">
        <v>35</v>
      </c>
      <c r="D81" t="s">
        <v>36</v>
      </c>
      <c r="E81" t="s">
        <v>37</v>
      </c>
      <c r="F81" t="s">
        <v>113</v>
      </c>
      <c r="G81" t="s">
        <v>37</v>
      </c>
      <c r="H81">
        <v>6</v>
      </c>
      <c r="J81" t="s">
        <v>43</v>
      </c>
      <c r="K81">
        <v>317486020</v>
      </c>
      <c r="L81" t="s">
        <v>272</v>
      </c>
      <c r="M81">
        <v>39.31</v>
      </c>
      <c r="N81" t="s">
        <v>169</v>
      </c>
      <c r="O81" t="s">
        <v>273</v>
      </c>
      <c r="P81" t="s">
        <v>46</v>
      </c>
      <c r="Q81">
        <v>3808.94</v>
      </c>
      <c r="R81" t="s">
        <v>144</v>
      </c>
      <c r="S81">
        <v>432</v>
      </c>
      <c r="T81">
        <v>1</v>
      </c>
      <c r="W81">
        <v>0.0</v>
      </c>
      <c r="X81">
        <v>0.0</v>
      </c>
      <c r="Y81">
        <v>0.0</v>
      </c>
      <c r="Z81">
        <v>0.0</v>
      </c>
      <c r="AA81">
        <v>0.0</v>
      </c>
      <c r="AB81">
        <v>0.0</v>
      </c>
      <c r="AC81">
        <v>0.0</v>
      </c>
      <c r="AD81">
        <v>0.0</v>
      </c>
      <c r="AG81" t="str">
        <f>HYPERLINK("https://fwc26.smmarta.com/nomenclature/965/images-download", "Download")</f>
        <v>0</v>
      </c>
    </row>
    <row r="82" spans="1:33">
      <c r="A82" t="s">
        <v>274</v>
      </c>
      <c r="B82" t="s">
        <v>275</v>
      </c>
      <c r="C82" t="s">
        <v>35</v>
      </c>
      <c r="D82" t="s">
        <v>36</v>
      </c>
      <c r="E82" t="s">
        <v>37</v>
      </c>
      <c r="F82" t="s">
        <v>113</v>
      </c>
      <c r="G82" t="s">
        <v>37</v>
      </c>
      <c r="J82" t="s">
        <v>51</v>
      </c>
      <c r="K82">
        <v>24411134</v>
      </c>
      <c r="M82">
        <v>3.38</v>
      </c>
      <c r="N82" t="s">
        <v>169</v>
      </c>
    </row>
    <row r="83" spans="1:33">
      <c r="A83" t="s">
        <v>276</v>
      </c>
      <c r="B83" t="s">
        <v>277</v>
      </c>
      <c r="C83" t="s">
        <v>35</v>
      </c>
      <c r="D83" t="s">
        <v>36</v>
      </c>
      <c r="E83" t="s">
        <v>37</v>
      </c>
      <c r="F83" t="s">
        <v>113</v>
      </c>
      <c r="G83" t="s">
        <v>37</v>
      </c>
      <c r="J83" t="s">
        <v>72</v>
      </c>
      <c r="K83" t="s">
        <v>278</v>
      </c>
      <c r="M83">
        <v>4.9</v>
      </c>
      <c r="N83" t="s">
        <v>169</v>
      </c>
      <c r="W83">
        <v>0.0</v>
      </c>
      <c r="X83">
        <v>0.0</v>
      </c>
      <c r="Y83">
        <v>0.0</v>
      </c>
      <c r="Z83">
        <v>0.0</v>
      </c>
      <c r="AA83">
        <v>0.0</v>
      </c>
      <c r="AB83">
        <v>0.0</v>
      </c>
      <c r="AC83">
        <v>0.0</v>
      </c>
      <c r="AD83">
        <v>0.0</v>
      </c>
    </row>
    <row r="84" spans="1:33">
      <c r="A84" t="s">
        <v>279</v>
      </c>
      <c r="B84" t="s">
        <v>280</v>
      </c>
      <c r="C84" t="s">
        <v>35</v>
      </c>
      <c r="D84" t="s">
        <v>36</v>
      </c>
      <c r="E84" t="s">
        <v>37</v>
      </c>
      <c r="F84" t="s">
        <v>113</v>
      </c>
      <c r="G84" t="s">
        <v>37</v>
      </c>
      <c r="J84" t="s">
        <v>76</v>
      </c>
      <c r="K84">
        <v>2681</v>
      </c>
      <c r="M84">
        <v>5.52</v>
      </c>
      <c r="N84" t="s">
        <v>169</v>
      </c>
      <c r="W84">
        <v>0.0</v>
      </c>
      <c r="X84">
        <v>0.0</v>
      </c>
      <c r="Y84">
        <v>0.0</v>
      </c>
      <c r="Z84">
        <v>0.0</v>
      </c>
      <c r="AA84">
        <v>0.0</v>
      </c>
      <c r="AB84">
        <v>0.0</v>
      </c>
      <c r="AC84">
        <v>0.0</v>
      </c>
      <c r="AD84">
        <v>0.0</v>
      </c>
    </row>
    <row r="85" spans="1:33">
      <c r="A85" t="s">
        <v>281</v>
      </c>
      <c r="B85" t="s">
        <v>282</v>
      </c>
      <c r="C85" t="s">
        <v>35</v>
      </c>
      <c r="D85" t="s">
        <v>36</v>
      </c>
      <c r="E85" t="s">
        <v>37</v>
      </c>
      <c r="F85" t="s">
        <v>37</v>
      </c>
      <c r="G85" t="s">
        <v>37</v>
      </c>
      <c r="H85">
        <v>1</v>
      </c>
      <c r="J85" t="s">
        <v>62</v>
      </c>
      <c r="M85">
        <v>21</v>
      </c>
      <c r="P85" t="s">
        <v>46</v>
      </c>
      <c r="Q85" t="s">
        <v>283</v>
      </c>
      <c r="R85" t="s">
        <v>48</v>
      </c>
      <c r="S85">
        <v>576</v>
      </c>
      <c r="T85">
        <v>1</v>
      </c>
      <c r="U85">
        <v>576</v>
      </c>
      <c r="V85">
        <v>1</v>
      </c>
      <c r="W85">
        <v>0.0</v>
      </c>
      <c r="X85">
        <v>0.0</v>
      </c>
      <c r="Y85">
        <v>0.0</v>
      </c>
      <c r="Z85">
        <v>0.0</v>
      </c>
      <c r="AA85">
        <v>0.0</v>
      </c>
      <c r="AB85">
        <v>0.0</v>
      </c>
      <c r="AC85">
        <v>0.0</v>
      </c>
      <c r="AD85">
        <v>0.0</v>
      </c>
      <c r="AG85" t="str">
        <f>HYPERLINK("https://fwc26.smmarta.com/nomenclature/719/images-download", "Download")</f>
        <v>0</v>
      </c>
    </row>
    <row r="86" spans="1:33">
      <c r="A86" t="s">
        <v>284</v>
      </c>
      <c r="B86" t="s">
        <v>285</v>
      </c>
      <c r="C86" t="s">
        <v>35</v>
      </c>
      <c r="D86" t="s">
        <v>36</v>
      </c>
      <c r="E86" t="s">
        <v>37</v>
      </c>
      <c r="F86" t="s">
        <v>37</v>
      </c>
      <c r="G86" t="s">
        <v>37</v>
      </c>
      <c r="J86" t="s">
        <v>43</v>
      </c>
      <c r="K86">
        <v>1012411608</v>
      </c>
      <c r="L86" t="s">
        <v>286</v>
      </c>
      <c r="M86">
        <v>39.98</v>
      </c>
      <c r="O86" t="s">
        <v>287</v>
      </c>
      <c r="P86" t="s">
        <v>46</v>
      </c>
      <c r="Q86">
        <v>8536.69</v>
      </c>
      <c r="R86" t="s">
        <v>48</v>
      </c>
      <c r="W86">
        <v>0.0</v>
      </c>
      <c r="X86">
        <v>0.0</v>
      </c>
      <c r="Y86">
        <v>0.0</v>
      </c>
      <c r="Z86">
        <v>0.0</v>
      </c>
      <c r="AA86">
        <v>0.0</v>
      </c>
      <c r="AB86">
        <v>0.0</v>
      </c>
      <c r="AC86">
        <v>0.0</v>
      </c>
      <c r="AD86">
        <v>0.0</v>
      </c>
      <c r="AG86" t="str">
        <f>HYPERLINK("https://fwc26.smmarta.com/nomenclature/772/images-download", "Download")</f>
        <v>0</v>
      </c>
    </row>
    <row r="87" spans="1:33">
      <c r="A87" t="s">
        <v>288</v>
      </c>
      <c r="B87" t="s">
        <v>282</v>
      </c>
      <c r="C87" t="s">
        <v>35</v>
      </c>
      <c r="D87" t="s">
        <v>36</v>
      </c>
      <c r="E87" t="s">
        <v>37</v>
      </c>
      <c r="F87" t="s">
        <v>37</v>
      </c>
      <c r="G87" t="s">
        <v>37</v>
      </c>
      <c r="J87" t="s">
        <v>72</v>
      </c>
      <c r="K87" t="s">
        <v>289</v>
      </c>
      <c r="M87">
        <v>13.84</v>
      </c>
      <c r="S87">
        <v>600</v>
      </c>
      <c r="T87">
        <v>1</v>
      </c>
      <c r="U87">
        <v>600</v>
      </c>
      <c r="V87">
        <v>1</v>
      </c>
      <c r="W87">
        <v>0.0</v>
      </c>
      <c r="X87">
        <v>0.0</v>
      </c>
      <c r="Y87">
        <v>0.0</v>
      </c>
      <c r="Z87">
        <v>0.0</v>
      </c>
      <c r="AA87">
        <v>0.0</v>
      </c>
      <c r="AB87">
        <v>0.0</v>
      </c>
      <c r="AC87">
        <v>0.0</v>
      </c>
      <c r="AD87">
        <v>0.0</v>
      </c>
    </row>
    <row r="88" spans="1:33">
      <c r="A88" t="s">
        <v>290</v>
      </c>
      <c r="B88" t="s">
        <v>291</v>
      </c>
      <c r="C88" t="s">
        <v>35</v>
      </c>
      <c r="D88" t="s">
        <v>36</v>
      </c>
      <c r="E88" t="s">
        <v>37</v>
      </c>
      <c r="F88" t="s">
        <v>37</v>
      </c>
      <c r="G88" t="s">
        <v>37</v>
      </c>
      <c r="J88" t="s">
        <v>51</v>
      </c>
      <c r="K88">
        <v>24592640</v>
      </c>
      <c r="M88">
        <v>36.49</v>
      </c>
    </row>
    <row r="89" spans="1:33">
      <c r="A89" t="s">
        <v>292</v>
      </c>
      <c r="B89" t="s">
        <v>293</v>
      </c>
      <c r="C89" t="s">
        <v>35</v>
      </c>
      <c r="D89" t="s">
        <v>36</v>
      </c>
      <c r="E89" t="s">
        <v>37</v>
      </c>
      <c r="F89" t="s">
        <v>113</v>
      </c>
      <c r="G89" t="s">
        <v>37</v>
      </c>
      <c r="H89">
        <v>1</v>
      </c>
      <c r="J89" t="s">
        <v>62</v>
      </c>
      <c r="N89" t="s">
        <v>169</v>
      </c>
      <c r="P89" t="s">
        <v>87</v>
      </c>
      <c r="R89" t="s">
        <v>48</v>
      </c>
      <c r="S89">
        <v>250</v>
      </c>
      <c r="T89">
        <v>1</v>
      </c>
      <c r="U89">
        <v>250</v>
      </c>
      <c r="V89">
        <v>1</v>
      </c>
      <c r="W89">
        <v>0.0</v>
      </c>
      <c r="X89">
        <v>0.0</v>
      </c>
      <c r="Y89">
        <v>0.0</v>
      </c>
      <c r="Z89">
        <v>0.0</v>
      </c>
      <c r="AA89">
        <v>0.0</v>
      </c>
      <c r="AB89">
        <v>0.0</v>
      </c>
      <c r="AC89">
        <v>0.0</v>
      </c>
      <c r="AD89">
        <v>0.0</v>
      </c>
      <c r="AG89" t="str">
        <f>HYPERLINK("https://fwc26.smmarta.com/nomenclature/585/images-download", "Download")</f>
        <v>0</v>
      </c>
    </row>
    <row r="90" spans="1:33">
      <c r="A90" t="s">
        <v>294</v>
      </c>
      <c r="B90" t="s">
        <v>295</v>
      </c>
      <c r="C90" t="s">
        <v>35</v>
      </c>
      <c r="D90" t="s">
        <v>36</v>
      </c>
      <c r="E90" t="s">
        <v>37</v>
      </c>
      <c r="F90" t="s">
        <v>113</v>
      </c>
      <c r="G90" t="s">
        <v>37</v>
      </c>
      <c r="H90">
        <v>1</v>
      </c>
      <c r="J90" t="s">
        <v>62</v>
      </c>
      <c r="K90" t="s">
        <v>296</v>
      </c>
      <c r="M90">
        <v>23.17</v>
      </c>
      <c r="N90" t="s">
        <v>169</v>
      </c>
      <c r="P90" t="s">
        <v>87</v>
      </c>
      <c r="R90" t="s">
        <v>48</v>
      </c>
      <c r="S90">
        <v>250</v>
      </c>
      <c r="T90">
        <v>1</v>
      </c>
      <c r="U90">
        <v>250</v>
      </c>
      <c r="V90">
        <v>1</v>
      </c>
      <c r="W90">
        <v>0.0</v>
      </c>
      <c r="X90">
        <v>0.0</v>
      </c>
      <c r="Y90">
        <v>0.0</v>
      </c>
      <c r="Z90">
        <v>0.0</v>
      </c>
      <c r="AA90">
        <v>0.0</v>
      </c>
      <c r="AB90">
        <v>0.0</v>
      </c>
      <c r="AC90">
        <v>0.0</v>
      </c>
      <c r="AD90">
        <v>0.0</v>
      </c>
      <c r="AG90" t="str">
        <f>HYPERLINK("https://fwc26.smmarta.com/nomenclature/586/images-download", "Download")</f>
        <v>0</v>
      </c>
    </row>
    <row r="91" spans="1:33">
      <c r="A91" t="s">
        <v>297</v>
      </c>
      <c r="B91" t="s">
        <v>298</v>
      </c>
      <c r="C91" t="s">
        <v>35</v>
      </c>
      <c r="D91" t="s">
        <v>228</v>
      </c>
      <c r="E91" t="s">
        <v>37</v>
      </c>
      <c r="F91" t="s">
        <v>113</v>
      </c>
      <c r="G91" t="s">
        <v>37</v>
      </c>
      <c r="J91" t="s">
        <v>43</v>
      </c>
      <c r="K91">
        <v>203423243</v>
      </c>
      <c r="L91" t="s">
        <v>299</v>
      </c>
      <c r="M91">
        <v>10.83</v>
      </c>
      <c r="N91" t="s">
        <v>169</v>
      </c>
      <c r="O91" t="s">
        <v>300</v>
      </c>
      <c r="P91" t="s">
        <v>46</v>
      </c>
      <c r="Q91">
        <v>6116.1</v>
      </c>
      <c r="R91" t="s">
        <v>48</v>
      </c>
      <c r="S91">
        <v>512</v>
      </c>
      <c r="T91">
        <v>1</v>
      </c>
      <c r="U91">
        <v>512</v>
      </c>
      <c r="V91">
        <v>1</v>
      </c>
      <c r="W91">
        <v>0.0</v>
      </c>
      <c r="X91">
        <v>0.0</v>
      </c>
      <c r="Y91">
        <v>0.0</v>
      </c>
      <c r="Z91">
        <v>0.0</v>
      </c>
      <c r="AA91">
        <v>0.0</v>
      </c>
      <c r="AB91">
        <v>0.0</v>
      </c>
      <c r="AC91">
        <v>0.0</v>
      </c>
      <c r="AD91">
        <v>0.0</v>
      </c>
      <c r="AG91" t="str">
        <f>HYPERLINK("https://fwc26.smmarta.com/nomenclature/1011/images-download", "Download")</f>
        <v>0</v>
      </c>
    </row>
    <row r="92" spans="1:33">
      <c r="A92" t="s">
        <v>301</v>
      </c>
      <c r="B92" t="s">
        <v>302</v>
      </c>
      <c r="C92" t="s">
        <v>35</v>
      </c>
      <c r="D92" t="s">
        <v>228</v>
      </c>
      <c r="E92" t="s">
        <v>37</v>
      </c>
      <c r="F92" t="s">
        <v>113</v>
      </c>
      <c r="G92" t="s">
        <v>37</v>
      </c>
      <c r="J92" t="s">
        <v>51</v>
      </c>
      <c r="K92">
        <v>177102</v>
      </c>
      <c r="M92">
        <v>5.63</v>
      </c>
      <c r="W92">
        <v>0.0</v>
      </c>
      <c r="X92">
        <v>0.0</v>
      </c>
      <c r="Y92">
        <v>0.0</v>
      </c>
      <c r="Z92">
        <v>0.0</v>
      </c>
      <c r="AA92">
        <v>0.0</v>
      </c>
      <c r="AB92">
        <v>0.0</v>
      </c>
      <c r="AC92">
        <v>0.0</v>
      </c>
      <c r="AD92">
        <v>0.0</v>
      </c>
    </row>
    <row r="93" spans="1:33">
      <c r="A93" t="s">
        <v>303</v>
      </c>
      <c r="B93" t="s">
        <v>304</v>
      </c>
      <c r="C93" t="s">
        <v>35</v>
      </c>
      <c r="D93" t="s">
        <v>228</v>
      </c>
      <c r="E93" t="s">
        <v>37</v>
      </c>
      <c r="F93" t="s">
        <v>113</v>
      </c>
      <c r="G93" t="s">
        <v>37</v>
      </c>
      <c r="H93">
        <v>1</v>
      </c>
      <c r="J93" t="s">
        <v>62</v>
      </c>
      <c r="M93">
        <v>0.5</v>
      </c>
      <c r="N93" t="s">
        <v>169</v>
      </c>
      <c r="P93" t="s">
        <v>46</v>
      </c>
      <c r="Q93" t="s">
        <v>217</v>
      </c>
      <c r="R93" t="s">
        <v>144</v>
      </c>
      <c r="S93">
        <v>4000</v>
      </c>
      <c r="T93">
        <v>1</v>
      </c>
      <c r="U93">
        <v>4000</v>
      </c>
      <c r="V93">
        <v>1</v>
      </c>
      <c r="W93">
        <v>0.0</v>
      </c>
      <c r="X93">
        <v>0.0</v>
      </c>
      <c r="Y93">
        <v>0.0</v>
      </c>
      <c r="Z93">
        <v>0.0</v>
      </c>
      <c r="AA93">
        <v>0.0</v>
      </c>
      <c r="AB93">
        <v>0.0</v>
      </c>
      <c r="AC93">
        <v>0.0</v>
      </c>
      <c r="AD93">
        <v>0.0</v>
      </c>
      <c r="AG93" t="str">
        <f>HYPERLINK("https://fwc26.smmarta.com/nomenclature/587/images-download", "Download")</f>
        <v>0</v>
      </c>
    </row>
    <row r="94" spans="1:33">
      <c r="A94" t="s">
        <v>305</v>
      </c>
      <c r="B94" t="s">
        <v>306</v>
      </c>
      <c r="C94" t="s">
        <v>35</v>
      </c>
      <c r="D94" t="s">
        <v>36</v>
      </c>
      <c r="E94" t="s">
        <v>37</v>
      </c>
      <c r="F94" t="s">
        <v>113</v>
      </c>
      <c r="G94" t="s">
        <v>37</v>
      </c>
      <c r="H94">
        <v>50</v>
      </c>
      <c r="J94" t="s">
        <v>43</v>
      </c>
      <c r="K94">
        <v>320993422</v>
      </c>
      <c r="L94" t="s">
        <v>307</v>
      </c>
      <c r="M94">
        <v>23.81</v>
      </c>
      <c r="N94" t="s">
        <v>169</v>
      </c>
      <c r="O94" t="s">
        <v>308</v>
      </c>
      <c r="P94" t="s">
        <v>46</v>
      </c>
      <c r="Q94">
        <v>3926.9</v>
      </c>
      <c r="R94" t="s">
        <v>48</v>
      </c>
      <c r="S94">
        <v>1500</v>
      </c>
      <c r="T94">
        <v>1</v>
      </c>
      <c r="U94">
        <v>1500</v>
      </c>
      <c r="V94">
        <v>1</v>
      </c>
      <c r="W94">
        <v>0.0</v>
      </c>
      <c r="X94">
        <v>0.0</v>
      </c>
      <c r="Y94">
        <v>0.0</v>
      </c>
      <c r="Z94">
        <v>0.0</v>
      </c>
      <c r="AA94">
        <v>0.0</v>
      </c>
      <c r="AB94">
        <v>0.0</v>
      </c>
      <c r="AC94">
        <v>0.0</v>
      </c>
      <c r="AD94">
        <v>0.0</v>
      </c>
      <c r="AG94" t="str">
        <f>HYPERLINK("https://fwc26.smmarta.com/nomenclature/1012/images-download", "Download")</f>
        <v>0</v>
      </c>
    </row>
    <row r="95" spans="1:33">
      <c r="A95" t="s">
        <v>309</v>
      </c>
      <c r="B95" t="s">
        <v>310</v>
      </c>
      <c r="C95" t="s">
        <v>35</v>
      </c>
      <c r="D95" t="s">
        <v>36</v>
      </c>
      <c r="E95" t="s">
        <v>37</v>
      </c>
      <c r="F95" t="s">
        <v>37</v>
      </c>
      <c r="G95" t="s">
        <v>37</v>
      </c>
      <c r="H95">
        <v>1</v>
      </c>
      <c r="J95" t="s">
        <v>62</v>
      </c>
      <c r="L95" t="s">
        <v>311</v>
      </c>
      <c r="M95">
        <v>107</v>
      </c>
      <c r="P95" t="s">
        <v>312</v>
      </c>
      <c r="R95" t="s">
        <v>170</v>
      </c>
      <c r="S95">
        <v>8</v>
      </c>
      <c r="T95">
        <v>1</v>
      </c>
      <c r="U95">
        <v>8</v>
      </c>
      <c r="V95">
        <v>1</v>
      </c>
      <c r="W95">
        <v>0.0</v>
      </c>
      <c r="X95">
        <v>0.0</v>
      </c>
      <c r="Y95">
        <v>0.0</v>
      </c>
      <c r="Z95">
        <v>0.0</v>
      </c>
      <c r="AA95">
        <v>0.0</v>
      </c>
      <c r="AB95">
        <v>0.0</v>
      </c>
      <c r="AC95">
        <v>0.0</v>
      </c>
      <c r="AD95">
        <v>0.0</v>
      </c>
      <c r="AG95" t="str">
        <f>HYPERLINK("https://fwc26.smmarta.com/nomenclature/588/images-download", "Download")</f>
        <v>0</v>
      </c>
    </row>
    <row r="96" spans="1:33">
      <c r="A96" t="s">
        <v>313</v>
      </c>
      <c r="B96" t="s">
        <v>314</v>
      </c>
      <c r="C96" t="s">
        <v>35</v>
      </c>
      <c r="D96" t="s">
        <v>36</v>
      </c>
      <c r="E96" t="s">
        <v>37</v>
      </c>
      <c r="F96" t="s">
        <v>37</v>
      </c>
      <c r="G96" t="s">
        <v>37</v>
      </c>
      <c r="J96" t="s">
        <v>43</v>
      </c>
      <c r="K96">
        <v>325667100</v>
      </c>
      <c r="L96" t="s">
        <v>311</v>
      </c>
      <c r="M96">
        <v>59.48</v>
      </c>
      <c r="O96" t="s">
        <v>315</v>
      </c>
      <c r="P96" t="s">
        <v>46</v>
      </c>
      <c r="Q96">
        <v>3923.3</v>
      </c>
      <c r="R96" t="s">
        <v>144</v>
      </c>
      <c r="S96">
        <v>16</v>
      </c>
      <c r="T96">
        <v>1</v>
      </c>
      <c r="U96">
        <v>16</v>
      </c>
      <c r="V96">
        <v>1</v>
      </c>
      <c r="W96">
        <v>0.0</v>
      </c>
      <c r="X96">
        <v>0.0</v>
      </c>
      <c r="Y96">
        <v>0.0</v>
      </c>
      <c r="Z96">
        <v>0.0</v>
      </c>
      <c r="AA96">
        <v>0.0</v>
      </c>
      <c r="AB96">
        <v>0.0</v>
      </c>
      <c r="AC96">
        <v>0.0</v>
      </c>
      <c r="AD96">
        <v>0.0</v>
      </c>
      <c r="AG96" t="str">
        <f>HYPERLINK("https://fwc26.smmarta.com/nomenclature/1013/images-download", "Download")</f>
        <v>0</v>
      </c>
    </row>
    <row r="97" spans="1:33">
      <c r="A97" t="s">
        <v>316</v>
      </c>
      <c r="B97" t="s">
        <v>317</v>
      </c>
      <c r="C97" t="s">
        <v>35</v>
      </c>
      <c r="D97" t="s">
        <v>36</v>
      </c>
      <c r="E97" t="s">
        <v>37</v>
      </c>
      <c r="F97" t="s">
        <v>37</v>
      </c>
      <c r="G97" t="s">
        <v>37</v>
      </c>
      <c r="H97">
        <v>1</v>
      </c>
      <c r="J97" t="s">
        <v>62</v>
      </c>
      <c r="K97">
        <v>24528482</v>
      </c>
      <c r="M97">
        <v>36.23</v>
      </c>
      <c r="P97" t="s">
        <v>87</v>
      </c>
      <c r="Q97" t="s">
        <v>318</v>
      </c>
      <c r="R97" t="s">
        <v>48</v>
      </c>
      <c r="S97">
        <v>156</v>
      </c>
      <c r="T97">
        <v>1</v>
      </c>
      <c r="U97">
        <v>156</v>
      </c>
      <c r="V97">
        <v>1</v>
      </c>
      <c r="W97">
        <v>0.0</v>
      </c>
      <c r="X97">
        <v>0.0</v>
      </c>
      <c r="Y97">
        <v>0.0</v>
      </c>
      <c r="Z97">
        <v>0.0</v>
      </c>
      <c r="AA97">
        <v>0.0</v>
      </c>
      <c r="AB97">
        <v>0.0</v>
      </c>
      <c r="AC97">
        <v>0.0</v>
      </c>
      <c r="AD97">
        <v>0.0</v>
      </c>
      <c r="AG97" t="str">
        <f>HYPERLINK("https://fwc26.smmarta.com/nomenclature/589/images-download", "Download")</f>
        <v>0</v>
      </c>
    </row>
    <row r="98" spans="1:33">
      <c r="A98" t="s">
        <v>319</v>
      </c>
      <c r="B98" t="s">
        <v>320</v>
      </c>
      <c r="C98" t="s">
        <v>35</v>
      </c>
      <c r="D98" t="s">
        <v>36</v>
      </c>
      <c r="E98" t="s">
        <v>37</v>
      </c>
      <c r="F98" t="s">
        <v>37</v>
      </c>
      <c r="G98" t="s">
        <v>37</v>
      </c>
      <c r="J98" t="s">
        <v>43</v>
      </c>
      <c r="K98">
        <v>205608813</v>
      </c>
      <c r="L98" t="s">
        <v>321</v>
      </c>
      <c r="M98">
        <v>26.67</v>
      </c>
      <c r="O98" t="s">
        <v>322</v>
      </c>
      <c r="P98" t="s">
        <v>46</v>
      </c>
      <c r="Q98">
        <v>9403.2</v>
      </c>
      <c r="R98" t="s">
        <v>48</v>
      </c>
      <c r="S98">
        <v>216</v>
      </c>
      <c r="T98">
        <v>1</v>
      </c>
      <c r="U98">
        <v>216</v>
      </c>
      <c r="V98">
        <v>1</v>
      </c>
      <c r="W98">
        <v>0.0</v>
      </c>
      <c r="X98">
        <v>0.0</v>
      </c>
      <c r="Y98">
        <v>0.0</v>
      </c>
      <c r="Z98">
        <v>0.0</v>
      </c>
      <c r="AA98">
        <v>0.0</v>
      </c>
      <c r="AB98">
        <v>0.0</v>
      </c>
      <c r="AC98">
        <v>0.0</v>
      </c>
      <c r="AD98">
        <v>0.0</v>
      </c>
      <c r="AG98" t="str">
        <f>HYPERLINK("https://fwc26.smmarta.com/nomenclature/1014/images-download", "Download")</f>
        <v>0</v>
      </c>
    </row>
    <row r="99" spans="1:33">
      <c r="A99" t="s">
        <v>323</v>
      </c>
      <c r="B99" t="s">
        <v>324</v>
      </c>
      <c r="C99" t="s">
        <v>35</v>
      </c>
      <c r="D99" t="s">
        <v>36</v>
      </c>
      <c r="E99" t="s">
        <v>37</v>
      </c>
      <c r="F99" t="s">
        <v>37</v>
      </c>
      <c r="G99" t="s">
        <v>37</v>
      </c>
      <c r="J99" t="s">
        <v>51</v>
      </c>
      <c r="K99" t="s">
        <v>325</v>
      </c>
      <c r="M99">
        <v>143.33</v>
      </c>
    </row>
    <row r="100" spans="1:33">
      <c r="A100" t="s">
        <v>326</v>
      </c>
      <c r="B100" t="s">
        <v>327</v>
      </c>
      <c r="C100" t="s">
        <v>35</v>
      </c>
      <c r="D100" t="s">
        <v>36</v>
      </c>
      <c r="E100" t="s">
        <v>37</v>
      </c>
      <c r="F100" t="s">
        <v>37</v>
      </c>
      <c r="G100" t="s">
        <v>37</v>
      </c>
      <c r="J100" t="s">
        <v>43</v>
      </c>
      <c r="K100">
        <v>304582976</v>
      </c>
      <c r="L100" t="s">
        <v>321</v>
      </c>
      <c r="M100">
        <v>111.62</v>
      </c>
      <c r="O100" t="s">
        <v>328</v>
      </c>
      <c r="P100" t="s">
        <v>46</v>
      </c>
      <c r="Q100">
        <v>9403.2</v>
      </c>
      <c r="R100" t="s">
        <v>48</v>
      </c>
      <c r="S100">
        <v>216</v>
      </c>
      <c r="T100">
        <v>1</v>
      </c>
      <c r="U100">
        <v>216</v>
      </c>
      <c r="V100">
        <v>1</v>
      </c>
      <c r="W100">
        <v>0.0</v>
      </c>
      <c r="X100">
        <v>0.0</v>
      </c>
      <c r="Y100">
        <v>0.0</v>
      </c>
      <c r="Z100">
        <v>0.0</v>
      </c>
      <c r="AA100">
        <v>0.0</v>
      </c>
      <c r="AB100">
        <v>0.0</v>
      </c>
      <c r="AC100">
        <v>0.0</v>
      </c>
      <c r="AD100">
        <v>0.0</v>
      </c>
      <c r="AG100" t="str">
        <f>HYPERLINK("https://fwc26.smmarta.com/nomenclature/766/images-download", "Download")</f>
        <v>0</v>
      </c>
    </row>
    <row r="101" spans="1:33">
      <c r="A101" t="s">
        <v>329</v>
      </c>
      <c r="B101" t="s">
        <v>330</v>
      </c>
      <c r="C101" t="s">
        <v>35</v>
      </c>
      <c r="D101" t="s">
        <v>36</v>
      </c>
      <c r="E101" t="s">
        <v>37</v>
      </c>
      <c r="F101" t="s">
        <v>37</v>
      </c>
      <c r="G101" t="s">
        <v>37</v>
      </c>
      <c r="J101" t="s">
        <v>51</v>
      </c>
      <c r="K101">
        <v>2424593</v>
      </c>
      <c r="M101">
        <v>149</v>
      </c>
    </row>
    <row r="102" spans="1:33">
      <c r="A102" t="s">
        <v>331</v>
      </c>
      <c r="B102" t="s">
        <v>332</v>
      </c>
      <c r="C102" t="s">
        <v>35</v>
      </c>
      <c r="D102" t="s">
        <v>228</v>
      </c>
      <c r="E102" t="s">
        <v>37</v>
      </c>
      <c r="F102" t="s">
        <v>113</v>
      </c>
      <c r="G102" t="s">
        <v>37</v>
      </c>
      <c r="H102">
        <v>1</v>
      </c>
      <c r="J102" t="s">
        <v>62</v>
      </c>
      <c r="M102">
        <v>14</v>
      </c>
      <c r="N102" t="s">
        <v>169</v>
      </c>
      <c r="P102" t="s">
        <v>63</v>
      </c>
      <c r="R102" t="s">
        <v>170</v>
      </c>
      <c r="S102">
        <v>2500</v>
      </c>
      <c r="T102">
        <v>1</v>
      </c>
      <c r="U102">
        <v>2500</v>
      </c>
      <c r="V102">
        <v>1</v>
      </c>
      <c r="W102">
        <v>0.0</v>
      </c>
      <c r="X102">
        <v>0.0</v>
      </c>
      <c r="Y102">
        <v>0.0</v>
      </c>
      <c r="Z102">
        <v>0.0</v>
      </c>
      <c r="AA102">
        <v>0.0</v>
      </c>
      <c r="AB102">
        <v>0.0</v>
      </c>
      <c r="AC102">
        <v>0.0</v>
      </c>
      <c r="AD102">
        <v>0.0</v>
      </c>
    </row>
    <row r="103" spans="1:33">
      <c r="A103" t="s">
        <v>333</v>
      </c>
      <c r="B103" t="s">
        <v>334</v>
      </c>
      <c r="C103" t="s">
        <v>35</v>
      </c>
      <c r="D103" t="s">
        <v>228</v>
      </c>
      <c r="E103" t="s">
        <v>37</v>
      </c>
      <c r="F103" t="s">
        <v>113</v>
      </c>
      <c r="G103" t="s">
        <v>37</v>
      </c>
      <c r="J103" t="s">
        <v>62</v>
      </c>
      <c r="K103">
        <v>2661487</v>
      </c>
      <c r="M103">
        <v>7.67</v>
      </c>
      <c r="N103" t="s">
        <v>169</v>
      </c>
      <c r="P103" t="s">
        <v>87</v>
      </c>
      <c r="R103" t="s">
        <v>335</v>
      </c>
      <c r="W103">
        <v>0.0</v>
      </c>
      <c r="X103">
        <v>0.0</v>
      </c>
      <c r="Y103">
        <v>0.0</v>
      </c>
      <c r="Z103">
        <v>0.0</v>
      </c>
      <c r="AA103">
        <v>0.0</v>
      </c>
      <c r="AB103">
        <v>0.0</v>
      </c>
      <c r="AC103">
        <v>0.0</v>
      </c>
      <c r="AD103">
        <v>0.0</v>
      </c>
    </row>
    <row r="104" spans="1:33">
      <c r="A104" t="s">
        <v>336</v>
      </c>
      <c r="B104" t="s">
        <v>337</v>
      </c>
      <c r="C104" t="s">
        <v>35</v>
      </c>
      <c r="D104" t="s">
        <v>228</v>
      </c>
      <c r="E104" t="s">
        <v>37</v>
      </c>
      <c r="F104" t="s">
        <v>113</v>
      </c>
      <c r="G104" t="s">
        <v>37</v>
      </c>
      <c r="J104" t="s">
        <v>62</v>
      </c>
      <c r="K104">
        <v>2661310</v>
      </c>
      <c r="M104">
        <v>18.18</v>
      </c>
      <c r="N104" t="s">
        <v>169</v>
      </c>
      <c r="P104" t="s">
        <v>87</v>
      </c>
      <c r="R104" t="s">
        <v>48</v>
      </c>
      <c r="W104">
        <v>0.0</v>
      </c>
      <c r="X104">
        <v>0.0</v>
      </c>
      <c r="Y104">
        <v>0.0</v>
      </c>
      <c r="Z104">
        <v>0.0</v>
      </c>
      <c r="AA104">
        <v>0.0</v>
      </c>
      <c r="AB104">
        <v>0.0</v>
      </c>
      <c r="AC104">
        <v>0.0</v>
      </c>
      <c r="AD104">
        <v>0.0</v>
      </c>
    </row>
    <row r="105" spans="1:33">
      <c r="A105" t="s">
        <v>338</v>
      </c>
      <c r="B105" t="s">
        <v>339</v>
      </c>
      <c r="C105" t="s">
        <v>35</v>
      </c>
      <c r="D105" t="s">
        <v>228</v>
      </c>
      <c r="E105" t="s">
        <v>37</v>
      </c>
      <c r="F105" t="s">
        <v>113</v>
      </c>
      <c r="G105" t="s">
        <v>37</v>
      </c>
      <c r="J105" t="s">
        <v>43</v>
      </c>
      <c r="K105">
        <v>207109258</v>
      </c>
      <c r="L105" t="s">
        <v>321</v>
      </c>
      <c r="M105">
        <v>13.96</v>
      </c>
      <c r="N105" t="s">
        <v>169</v>
      </c>
      <c r="O105" t="s">
        <v>340</v>
      </c>
      <c r="P105" t="s">
        <v>46</v>
      </c>
      <c r="Q105">
        <v>3926.9</v>
      </c>
      <c r="R105" t="s">
        <v>48</v>
      </c>
      <c r="S105">
        <v>5000</v>
      </c>
      <c r="T105">
        <v>1</v>
      </c>
      <c r="U105">
        <v>5000</v>
      </c>
      <c r="V105">
        <v>1</v>
      </c>
      <c r="W105">
        <v>0.0</v>
      </c>
      <c r="X105">
        <v>0.0</v>
      </c>
      <c r="Y105">
        <v>0.0</v>
      </c>
      <c r="Z105">
        <v>0.0</v>
      </c>
      <c r="AA105">
        <v>0.0</v>
      </c>
      <c r="AB105">
        <v>0.0</v>
      </c>
      <c r="AC105">
        <v>0.0</v>
      </c>
      <c r="AD105">
        <v>0.0</v>
      </c>
      <c r="AG105" t="str">
        <f>HYPERLINK("https://fwc26.smmarta.com/nomenclature/1015/images-download", "Download")</f>
        <v>0</v>
      </c>
    </row>
    <row r="106" spans="1:33">
      <c r="A106" t="s">
        <v>341</v>
      </c>
      <c r="B106" t="s">
        <v>342</v>
      </c>
      <c r="C106" t="s">
        <v>35</v>
      </c>
      <c r="D106" t="s">
        <v>228</v>
      </c>
      <c r="E106" t="s">
        <v>37</v>
      </c>
      <c r="F106" t="s">
        <v>113</v>
      </c>
      <c r="G106" t="s">
        <v>37</v>
      </c>
      <c r="J106" t="s">
        <v>51</v>
      </c>
      <c r="K106">
        <v>2661487</v>
      </c>
      <c r="M106">
        <v>7.67</v>
      </c>
      <c r="W106">
        <v>0.0</v>
      </c>
      <c r="X106">
        <v>0.0</v>
      </c>
      <c r="Y106">
        <v>0.0</v>
      </c>
      <c r="Z106">
        <v>0.0</v>
      </c>
      <c r="AA106">
        <v>0.0</v>
      </c>
      <c r="AB106">
        <v>0.0</v>
      </c>
      <c r="AC106">
        <v>0.0</v>
      </c>
      <c r="AD106">
        <v>0.0</v>
      </c>
    </row>
    <row r="107" spans="1:33">
      <c r="A107" t="s">
        <v>343</v>
      </c>
      <c r="B107" t="s">
        <v>344</v>
      </c>
      <c r="C107" t="s">
        <v>35</v>
      </c>
      <c r="D107" t="s">
        <v>36</v>
      </c>
      <c r="E107" t="s">
        <v>37</v>
      </c>
      <c r="F107" t="s">
        <v>37</v>
      </c>
      <c r="G107" t="s">
        <v>37</v>
      </c>
      <c r="J107" t="s">
        <v>62</v>
      </c>
      <c r="M107">
        <v>27</v>
      </c>
      <c r="Q107" t="s">
        <v>345</v>
      </c>
      <c r="R107" t="s">
        <v>335</v>
      </c>
      <c r="W107">
        <v>0.0</v>
      </c>
      <c r="X107">
        <v>0.0</v>
      </c>
      <c r="Y107">
        <v>0.0</v>
      </c>
      <c r="Z107">
        <v>0.0</v>
      </c>
      <c r="AA107">
        <v>0.0</v>
      </c>
      <c r="AB107">
        <v>0.0</v>
      </c>
      <c r="AC107">
        <v>0.0</v>
      </c>
      <c r="AD107">
        <v>0.0</v>
      </c>
    </row>
    <row r="108" spans="1:33">
      <c r="A108" t="s">
        <v>346</v>
      </c>
      <c r="B108" t="s">
        <v>347</v>
      </c>
      <c r="C108" t="s">
        <v>35</v>
      </c>
      <c r="D108" t="s">
        <v>36</v>
      </c>
      <c r="E108" t="s">
        <v>37</v>
      </c>
      <c r="F108" t="s">
        <v>37</v>
      </c>
      <c r="G108" t="s">
        <v>37</v>
      </c>
      <c r="J108" t="s">
        <v>43</v>
      </c>
      <c r="K108">
        <v>202260761</v>
      </c>
      <c r="L108" t="s">
        <v>348</v>
      </c>
      <c r="M108">
        <v>15.53</v>
      </c>
      <c r="O108" t="s">
        <v>349</v>
      </c>
      <c r="P108" t="s">
        <v>46</v>
      </c>
      <c r="Q108">
        <v>8301.1</v>
      </c>
      <c r="R108" t="s">
        <v>48</v>
      </c>
      <c r="W108">
        <v>0.0</v>
      </c>
      <c r="X108">
        <v>0.0</v>
      </c>
      <c r="Y108">
        <v>0.0</v>
      </c>
      <c r="Z108">
        <v>0.0</v>
      </c>
      <c r="AA108">
        <v>0.0</v>
      </c>
      <c r="AB108">
        <v>0.0</v>
      </c>
      <c r="AC108">
        <v>0.0</v>
      </c>
      <c r="AD108">
        <v>0.0</v>
      </c>
      <c r="AG108" t="str">
        <f>HYPERLINK("https://fwc26.smmarta.com/nomenclature/769/images-download", "Download")</f>
        <v>0</v>
      </c>
    </row>
    <row r="109" spans="1:33">
      <c r="A109" t="s">
        <v>350</v>
      </c>
      <c r="B109" t="s">
        <v>351</v>
      </c>
      <c r="C109" t="s">
        <v>35</v>
      </c>
      <c r="D109" t="s">
        <v>36</v>
      </c>
      <c r="E109" t="s">
        <v>37</v>
      </c>
      <c r="F109" t="s">
        <v>37</v>
      </c>
      <c r="G109" t="s">
        <v>37</v>
      </c>
      <c r="J109" t="s">
        <v>62</v>
      </c>
      <c r="M109">
        <v>50</v>
      </c>
      <c r="Q109" t="s">
        <v>352</v>
      </c>
      <c r="R109" t="s">
        <v>48</v>
      </c>
      <c r="W109">
        <v>0.0</v>
      </c>
      <c r="X109">
        <v>0.0</v>
      </c>
      <c r="Y109">
        <v>0.0</v>
      </c>
      <c r="Z109">
        <v>0.0</v>
      </c>
      <c r="AA109">
        <v>0.0</v>
      </c>
      <c r="AB109">
        <v>0.0</v>
      </c>
      <c r="AC109">
        <v>0.0</v>
      </c>
      <c r="AD109">
        <v>0.0</v>
      </c>
    </row>
    <row r="110" spans="1:33">
      <c r="A110" t="s">
        <v>353</v>
      </c>
      <c r="B110" t="s">
        <v>354</v>
      </c>
      <c r="C110" t="s">
        <v>35</v>
      </c>
      <c r="D110" t="s">
        <v>36</v>
      </c>
      <c r="E110" t="s">
        <v>37</v>
      </c>
      <c r="F110" t="s">
        <v>37</v>
      </c>
      <c r="G110" t="s">
        <v>37</v>
      </c>
      <c r="J110" t="s">
        <v>43</v>
      </c>
      <c r="K110">
        <v>577100</v>
      </c>
      <c r="M110">
        <v>23.89</v>
      </c>
      <c r="Q110" t="s">
        <v>355</v>
      </c>
      <c r="S110">
        <v>1000</v>
      </c>
      <c r="T110">
        <v>1</v>
      </c>
      <c r="U110">
        <v>1000</v>
      </c>
      <c r="V110">
        <v>1</v>
      </c>
      <c r="W110">
        <v>0.0</v>
      </c>
      <c r="X110">
        <v>0.0</v>
      </c>
      <c r="Y110">
        <v>0.0</v>
      </c>
      <c r="Z110">
        <v>0.0</v>
      </c>
      <c r="AA110">
        <v>0.0</v>
      </c>
      <c r="AB110">
        <v>0.0</v>
      </c>
      <c r="AC110">
        <v>0.0</v>
      </c>
      <c r="AD110">
        <v>0.0</v>
      </c>
    </row>
    <row r="111" spans="1:33">
      <c r="A111" t="s">
        <v>356</v>
      </c>
      <c r="B111" t="s">
        <v>357</v>
      </c>
      <c r="C111" t="s">
        <v>35</v>
      </c>
      <c r="D111" t="s">
        <v>36</v>
      </c>
      <c r="E111" t="s">
        <v>37</v>
      </c>
      <c r="F111" t="s">
        <v>37</v>
      </c>
      <c r="G111" t="s">
        <v>37</v>
      </c>
      <c r="J111" t="s">
        <v>62</v>
      </c>
      <c r="M111">
        <v>14</v>
      </c>
      <c r="Q111" t="s">
        <v>358</v>
      </c>
      <c r="R111" t="s">
        <v>335</v>
      </c>
      <c r="W111">
        <v>0.0</v>
      </c>
      <c r="X111">
        <v>0.0</v>
      </c>
      <c r="Y111">
        <v>0.0</v>
      </c>
      <c r="Z111">
        <v>0.0</v>
      </c>
      <c r="AA111">
        <v>0.0</v>
      </c>
      <c r="AB111">
        <v>0.0</v>
      </c>
      <c r="AC111">
        <v>0.0</v>
      </c>
      <c r="AD111">
        <v>0.0</v>
      </c>
    </row>
    <row r="112" spans="1:33">
      <c r="A112" t="s">
        <v>359</v>
      </c>
      <c r="B112" t="s">
        <v>360</v>
      </c>
      <c r="C112" t="s">
        <v>35</v>
      </c>
      <c r="D112" t="s">
        <v>36</v>
      </c>
      <c r="E112" t="s">
        <v>37</v>
      </c>
      <c r="F112" t="s">
        <v>37</v>
      </c>
      <c r="G112" t="s">
        <v>37</v>
      </c>
      <c r="J112" t="s">
        <v>62</v>
      </c>
      <c r="M112">
        <v>15</v>
      </c>
      <c r="R112" t="s">
        <v>48</v>
      </c>
      <c r="W112">
        <v>0.0</v>
      </c>
      <c r="X112">
        <v>0.0</v>
      </c>
      <c r="Y112">
        <v>0.0</v>
      </c>
      <c r="Z112">
        <v>0.0</v>
      </c>
      <c r="AA112">
        <v>0.0</v>
      </c>
      <c r="AB112">
        <v>0.0</v>
      </c>
      <c r="AC112">
        <v>0.0</v>
      </c>
      <c r="AD112">
        <v>0.0</v>
      </c>
      <c r="AG112" t="str">
        <f>HYPERLINK("https://fwc26.smmarta.com/nomenclature/823/images-download", "Download")</f>
        <v>0</v>
      </c>
    </row>
    <row r="113" spans="1:33">
      <c r="A113" t="s">
        <v>361</v>
      </c>
      <c r="B113" t="s">
        <v>362</v>
      </c>
      <c r="C113" t="s">
        <v>35</v>
      </c>
      <c r="D113" t="s">
        <v>36</v>
      </c>
      <c r="E113" t="s">
        <v>37</v>
      </c>
      <c r="F113" t="s">
        <v>37</v>
      </c>
      <c r="G113" t="s">
        <v>37</v>
      </c>
      <c r="J113" t="s">
        <v>363</v>
      </c>
      <c r="K113">
        <v>100129652</v>
      </c>
      <c r="M113">
        <v>8.44</v>
      </c>
      <c r="S113">
        <v>2500</v>
      </c>
      <c r="T113">
        <v>1</v>
      </c>
      <c r="U113">
        <v>2500</v>
      </c>
      <c r="V113">
        <v>1</v>
      </c>
      <c r="W113">
        <v>0.0</v>
      </c>
      <c r="X113">
        <v>0.0</v>
      </c>
      <c r="Y113">
        <v>0.0</v>
      </c>
      <c r="Z113">
        <v>0.0</v>
      </c>
      <c r="AA113">
        <v>0.0</v>
      </c>
      <c r="AB113">
        <v>0.0</v>
      </c>
      <c r="AC113">
        <v>0.0</v>
      </c>
      <c r="AD113">
        <v>0.0</v>
      </c>
    </row>
    <row r="114" spans="1:33">
      <c r="A114" t="s">
        <v>364</v>
      </c>
      <c r="B114" t="s">
        <v>365</v>
      </c>
      <c r="C114" t="s">
        <v>35</v>
      </c>
      <c r="D114" t="s">
        <v>36</v>
      </c>
      <c r="E114" t="s">
        <v>37</v>
      </c>
      <c r="F114" t="s">
        <v>37</v>
      </c>
      <c r="G114" t="s">
        <v>37</v>
      </c>
      <c r="J114" t="s">
        <v>62</v>
      </c>
      <c r="M114">
        <v>7</v>
      </c>
      <c r="R114" t="s">
        <v>170</v>
      </c>
      <c r="W114">
        <v>0.0</v>
      </c>
      <c r="X114">
        <v>0.0</v>
      </c>
      <c r="Y114">
        <v>0.0</v>
      </c>
      <c r="Z114">
        <v>0.0</v>
      </c>
      <c r="AA114">
        <v>0.0</v>
      </c>
      <c r="AB114">
        <v>0.0</v>
      </c>
      <c r="AC114">
        <v>0.0</v>
      </c>
      <c r="AD114">
        <v>0.0</v>
      </c>
    </row>
    <row r="115" spans="1:33">
      <c r="A115" t="s">
        <v>366</v>
      </c>
      <c r="B115" t="s">
        <v>367</v>
      </c>
      <c r="C115" t="s">
        <v>35</v>
      </c>
      <c r="D115" t="s">
        <v>36</v>
      </c>
      <c r="E115" t="s">
        <v>37</v>
      </c>
      <c r="F115" t="s">
        <v>37</v>
      </c>
      <c r="G115" t="s">
        <v>37</v>
      </c>
      <c r="J115" t="s">
        <v>62</v>
      </c>
      <c r="K115">
        <v>383725</v>
      </c>
      <c r="L115" t="s">
        <v>348</v>
      </c>
      <c r="M115">
        <v>10.95</v>
      </c>
      <c r="P115" t="s">
        <v>46</v>
      </c>
      <c r="R115" t="s">
        <v>48</v>
      </c>
      <c r="W115">
        <v>0.0</v>
      </c>
      <c r="X115">
        <v>0.0</v>
      </c>
      <c r="Y115">
        <v>0.0</v>
      </c>
      <c r="Z115">
        <v>0.0</v>
      </c>
      <c r="AA115">
        <v>0.0</v>
      </c>
      <c r="AB115">
        <v>0.0</v>
      </c>
      <c r="AC115">
        <v>0.0</v>
      </c>
      <c r="AD115">
        <v>0.0</v>
      </c>
      <c r="AE115" t="s">
        <v>368</v>
      </c>
    </row>
    <row r="116" spans="1:33">
      <c r="A116" t="s">
        <v>369</v>
      </c>
      <c r="B116" t="s">
        <v>370</v>
      </c>
      <c r="C116" t="s">
        <v>35</v>
      </c>
      <c r="D116" t="s">
        <v>36</v>
      </c>
      <c r="E116" t="s">
        <v>37</v>
      </c>
      <c r="F116" t="s">
        <v>37</v>
      </c>
      <c r="G116" t="s">
        <v>37</v>
      </c>
      <c r="J116" t="s">
        <v>62</v>
      </c>
      <c r="M116">
        <v>15</v>
      </c>
      <c r="R116" t="s">
        <v>335</v>
      </c>
      <c r="W116">
        <v>0.0</v>
      </c>
      <c r="X116">
        <v>0.0</v>
      </c>
      <c r="Y116">
        <v>0.0</v>
      </c>
      <c r="Z116">
        <v>0.0</v>
      </c>
      <c r="AA116">
        <v>0.0</v>
      </c>
      <c r="AB116">
        <v>0.0</v>
      </c>
      <c r="AC116">
        <v>0.0</v>
      </c>
      <c r="AD116">
        <v>0.0</v>
      </c>
      <c r="AG116" t="str">
        <f>HYPERLINK("https://fwc26.smmarta.com/nomenclature/824/images-download", "Download")</f>
        <v>0</v>
      </c>
    </row>
    <row r="117" spans="1:33">
      <c r="A117" t="s">
        <v>371</v>
      </c>
      <c r="B117" t="s">
        <v>372</v>
      </c>
      <c r="C117" t="s">
        <v>35</v>
      </c>
      <c r="D117" t="s">
        <v>204</v>
      </c>
      <c r="E117" t="s">
        <v>37</v>
      </c>
      <c r="F117" t="s">
        <v>37</v>
      </c>
      <c r="G117" t="s">
        <v>37</v>
      </c>
      <c r="J117" t="s">
        <v>62</v>
      </c>
      <c r="M117">
        <v>15</v>
      </c>
      <c r="R117" t="s">
        <v>335</v>
      </c>
      <c r="W117">
        <v>0.0</v>
      </c>
      <c r="X117">
        <v>0.0</v>
      </c>
      <c r="Y117">
        <v>0.0</v>
      </c>
      <c r="Z117">
        <v>0.0</v>
      </c>
      <c r="AA117">
        <v>0.0</v>
      </c>
      <c r="AB117">
        <v>0.0</v>
      </c>
      <c r="AC117">
        <v>0.0</v>
      </c>
      <c r="AD117">
        <v>0.0</v>
      </c>
      <c r="AG117" t="str">
        <f>HYPERLINK("https://fwc26.smmarta.com/nomenclature/825/images-download", "Download")</f>
        <v>0</v>
      </c>
    </row>
    <row r="118" spans="1:33">
      <c r="A118" t="s">
        <v>373</v>
      </c>
      <c r="B118" t="s">
        <v>374</v>
      </c>
      <c r="C118" t="s">
        <v>35</v>
      </c>
      <c r="D118" t="s">
        <v>36</v>
      </c>
      <c r="E118" t="s">
        <v>37</v>
      </c>
      <c r="F118" t="s">
        <v>37</v>
      </c>
      <c r="G118" t="s">
        <v>37</v>
      </c>
      <c r="J118" t="s">
        <v>62</v>
      </c>
      <c r="M118">
        <v>15</v>
      </c>
      <c r="R118" t="s">
        <v>48</v>
      </c>
      <c r="W118">
        <v>0.0</v>
      </c>
      <c r="X118">
        <v>0.0</v>
      </c>
      <c r="Y118">
        <v>0.0</v>
      </c>
      <c r="Z118">
        <v>0.0</v>
      </c>
      <c r="AA118">
        <v>0.0</v>
      </c>
      <c r="AB118">
        <v>0.0</v>
      </c>
      <c r="AC118">
        <v>0.0</v>
      </c>
      <c r="AD118">
        <v>0.0</v>
      </c>
      <c r="AG118" t="str">
        <f>HYPERLINK("https://fwc26.smmarta.com/nomenclature/826/images-download", "Download")</f>
        <v>0</v>
      </c>
    </row>
    <row r="119" spans="1:33">
      <c r="A119" t="s">
        <v>375</v>
      </c>
      <c r="B119" t="s">
        <v>376</v>
      </c>
      <c r="C119" t="s">
        <v>35</v>
      </c>
      <c r="D119" t="s">
        <v>204</v>
      </c>
      <c r="E119" t="s">
        <v>37</v>
      </c>
      <c r="F119" t="s">
        <v>37</v>
      </c>
      <c r="G119" t="s">
        <v>37</v>
      </c>
      <c r="J119" t="s">
        <v>62</v>
      </c>
      <c r="M119">
        <v>15</v>
      </c>
      <c r="R119" t="s">
        <v>48</v>
      </c>
      <c r="W119">
        <v>0.0</v>
      </c>
      <c r="X119">
        <v>0.0</v>
      </c>
      <c r="Y119">
        <v>0.0</v>
      </c>
      <c r="Z119">
        <v>0.0</v>
      </c>
      <c r="AA119">
        <v>0.0</v>
      </c>
      <c r="AB119">
        <v>0.0</v>
      </c>
      <c r="AC119">
        <v>0.0</v>
      </c>
      <c r="AD119">
        <v>0.0</v>
      </c>
      <c r="AG119" t="str">
        <f>HYPERLINK("https://fwc26.smmarta.com/nomenclature/827/images-download", "Download")</f>
        <v>0</v>
      </c>
    </row>
    <row r="120" spans="1:33">
      <c r="A120" t="s">
        <v>377</v>
      </c>
      <c r="B120" t="s">
        <v>378</v>
      </c>
      <c r="C120" t="s">
        <v>35</v>
      </c>
      <c r="D120" t="s">
        <v>36</v>
      </c>
      <c r="E120" t="s">
        <v>37</v>
      </c>
      <c r="F120" t="s">
        <v>37</v>
      </c>
      <c r="G120" t="s">
        <v>37</v>
      </c>
      <c r="J120" t="s">
        <v>62</v>
      </c>
      <c r="M120">
        <v>15</v>
      </c>
      <c r="R120" t="s">
        <v>48</v>
      </c>
      <c r="W120">
        <v>0.0</v>
      </c>
      <c r="X120">
        <v>0.0</v>
      </c>
      <c r="Y120">
        <v>0.0</v>
      </c>
      <c r="Z120">
        <v>0.0</v>
      </c>
      <c r="AA120">
        <v>0.0</v>
      </c>
      <c r="AB120">
        <v>0.0</v>
      </c>
      <c r="AC120">
        <v>0.0</v>
      </c>
      <c r="AD120">
        <v>0.0</v>
      </c>
    </row>
    <row r="121" spans="1:33">
      <c r="A121" t="s">
        <v>379</v>
      </c>
      <c r="B121" t="s">
        <v>380</v>
      </c>
      <c r="C121" t="s">
        <v>35</v>
      </c>
      <c r="D121" t="s">
        <v>36</v>
      </c>
      <c r="E121" t="s">
        <v>37</v>
      </c>
      <c r="F121" t="s">
        <v>37</v>
      </c>
      <c r="G121" t="s">
        <v>37</v>
      </c>
      <c r="J121" t="s">
        <v>62</v>
      </c>
      <c r="R121" t="s">
        <v>335</v>
      </c>
      <c r="W121">
        <v>0.0</v>
      </c>
      <c r="X121">
        <v>0.0</v>
      </c>
      <c r="Y121">
        <v>0.0</v>
      </c>
      <c r="Z121">
        <v>0.0</v>
      </c>
      <c r="AA121">
        <v>0.0</v>
      </c>
      <c r="AB121">
        <v>0.0</v>
      </c>
      <c r="AC121">
        <v>0.0</v>
      </c>
      <c r="AD121">
        <v>0.0</v>
      </c>
    </row>
    <row r="122" spans="1:33">
      <c r="A122" t="s">
        <v>381</v>
      </c>
      <c r="B122" t="s">
        <v>382</v>
      </c>
      <c r="C122" t="s">
        <v>35</v>
      </c>
      <c r="D122" t="s">
        <v>36</v>
      </c>
      <c r="E122" t="s">
        <v>37</v>
      </c>
      <c r="F122" t="s">
        <v>37</v>
      </c>
      <c r="G122" t="s">
        <v>37</v>
      </c>
      <c r="J122" t="s">
        <v>363</v>
      </c>
      <c r="K122">
        <v>100179504</v>
      </c>
      <c r="M122">
        <v>10.95</v>
      </c>
      <c r="Q122" t="s">
        <v>383</v>
      </c>
      <c r="S122">
        <v>2500</v>
      </c>
      <c r="T122">
        <v>1</v>
      </c>
      <c r="U122">
        <v>2500</v>
      </c>
      <c r="V122">
        <v>1</v>
      </c>
      <c r="W122">
        <v>0.0</v>
      </c>
      <c r="X122">
        <v>0.0</v>
      </c>
      <c r="Y122">
        <v>0.0</v>
      </c>
      <c r="Z122">
        <v>0.0</v>
      </c>
      <c r="AA122">
        <v>0.0</v>
      </c>
      <c r="AB122">
        <v>0.0</v>
      </c>
      <c r="AC122">
        <v>0.0</v>
      </c>
      <c r="AD122">
        <v>0.0</v>
      </c>
    </row>
    <row r="123" spans="1:33">
      <c r="A123" t="s">
        <v>384</v>
      </c>
      <c r="B123" t="s">
        <v>385</v>
      </c>
      <c r="C123" t="s">
        <v>35</v>
      </c>
      <c r="D123" t="s">
        <v>36</v>
      </c>
      <c r="E123" t="s">
        <v>37</v>
      </c>
      <c r="F123" t="s">
        <v>37</v>
      </c>
      <c r="G123" t="s">
        <v>37</v>
      </c>
      <c r="J123" t="s">
        <v>62</v>
      </c>
      <c r="M123">
        <v>13</v>
      </c>
      <c r="Q123" t="s">
        <v>358</v>
      </c>
      <c r="R123" t="s">
        <v>335</v>
      </c>
      <c r="W123">
        <v>0.0</v>
      </c>
      <c r="X123">
        <v>0.0</v>
      </c>
      <c r="Y123">
        <v>0.0</v>
      </c>
      <c r="Z123">
        <v>0.0</v>
      </c>
      <c r="AA123">
        <v>0.0</v>
      </c>
      <c r="AB123">
        <v>0.0</v>
      </c>
      <c r="AC123">
        <v>0.0</v>
      </c>
      <c r="AD123">
        <v>0.0</v>
      </c>
    </row>
    <row r="124" spans="1:33">
      <c r="A124" t="s">
        <v>386</v>
      </c>
      <c r="B124" t="s">
        <v>387</v>
      </c>
      <c r="C124" t="s">
        <v>35</v>
      </c>
      <c r="D124" t="s">
        <v>36</v>
      </c>
      <c r="E124" t="s">
        <v>37</v>
      </c>
      <c r="F124" t="s">
        <v>37</v>
      </c>
      <c r="G124" t="s">
        <v>37</v>
      </c>
      <c r="J124" t="s">
        <v>363</v>
      </c>
      <c r="M124">
        <v>13</v>
      </c>
      <c r="Q124">
        <v>8301.1</v>
      </c>
      <c r="S124">
        <v>2500</v>
      </c>
      <c r="T124">
        <v>1</v>
      </c>
      <c r="U124">
        <v>2500</v>
      </c>
      <c r="V124">
        <v>1</v>
      </c>
      <c r="W124">
        <v>0.0</v>
      </c>
      <c r="X124">
        <v>0.0</v>
      </c>
      <c r="Y124">
        <v>0.0</v>
      </c>
      <c r="Z124">
        <v>0.0</v>
      </c>
      <c r="AA124">
        <v>0.0</v>
      </c>
      <c r="AB124">
        <v>0.0</v>
      </c>
      <c r="AC124">
        <v>0.0</v>
      </c>
      <c r="AD124">
        <v>0.0</v>
      </c>
    </row>
    <row r="125" spans="1:33">
      <c r="A125" t="s">
        <v>388</v>
      </c>
      <c r="B125" t="s">
        <v>389</v>
      </c>
      <c r="C125" t="s">
        <v>35</v>
      </c>
      <c r="D125" t="s">
        <v>36</v>
      </c>
      <c r="E125" t="s">
        <v>37</v>
      </c>
      <c r="F125" t="s">
        <v>37</v>
      </c>
      <c r="G125" t="s">
        <v>37</v>
      </c>
      <c r="J125" t="s">
        <v>62</v>
      </c>
      <c r="M125">
        <v>196</v>
      </c>
      <c r="Q125" t="s">
        <v>390</v>
      </c>
      <c r="R125" t="s">
        <v>335</v>
      </c>
      <c r="S125">
        <v>10</v>
      </c>
      <c r="T125">
        <v>1</v>
      </c>
      <c r="U125">
        <v>10</v>
      </c>
      <c r="V125">
        <v>1</v>
      </c>
      <c r="W125">
        <v>0.0</v>
      </c>
      <c r="X125">
        <v>0.0</v>
      </c>
      <c r="Y125">
        <v>0.0</v>
      </c>
      <c r="Z125">
        <v>0.0</v>
      </c>
      <c r="AA125">
        <v>0.0</v>
      </c>
      <c r="AB125">
        <v>0.0</v>
      </c>
      <c r="AC125">
        <v>0.0</v>
      </c>
      <c r="AD125">
        <v>0.0</v>
      </c>
    </row>
    <row r="126" spans="1:33">
      <c r="A126" t="s">
        <v>391</v>
      </c>
      <c r="B126" t="s">
        <v>392</v>
      </c>
      <c r="C126" t="s">
        <v>35</v>
      </c>
      <c r="D126" t="s">
        <v>36</v>
      </c>
      <c r="E126" t="s">
        <v>37</v>
      </c>
      <c r="F126" t="s">
        <v>37</v>
      </c>
      <c r="G126" t="s">
        <v>37</v>
      </c>
      <c r="J126" t="s">
        <v>43</v>
      </c>
      <c r="K126">
        <v>100659875</v>
      </c>
      <c r="L126" t="s">
        <v>393</v>
      </c>
      <c r="M126">
        <v>84.97</v>
      </c>
      <c r="O126" t="s">
        <v>394</v>
      </c>
      <c r="P126" t="s">
        <v>46</v>
      </c>
      <c r="Q126">
        <v>7616.99</v>
      </c>
      <c r="R126" t="s">
        <v>335</v>
      </c>
      <c r="S126">
        <v>10</v>
      </c>
      <c r="T126">
        <v>1</v>
      </c>
      <c r="U126">
        <v>10</v>
      </c>
      <c r="V126">
        <v>1</v>
      </c>
      <c r="W126">
        <v>0.0</v>
      </c>
      <c r="X126">
        <v>0.0</v>
      </c>
      <c r="Y126">
        <v>0.0</v>
      </c>
      <c r="Z126">
        <v>0.0</v>
      </c>
      <c r="AA126">
        <v>0.0</v>
      </c>
      <c r="AB126">
        <v>0.0</v>
      </c>
      <c r="AC126">
        <v>0.0</v>
      </c>
      <c r="AD126">
        <v>0.0</v>
      </c>
      <c r="AG126" t="str">
        <f>HYPERLINK("https://fwc26.smmarta.com/nomenclature/1017/images-download", "Download")</f>
        <v>0</v>
      </c>
    </row>
    <row r="127" spans="1:33">
      <c r="A127" t="s">
        <v>395</v>
      </c>
      <c r="B127" t="s">
        <v>396</v>
      </c>
      <c r="C127" t="s">
        <v>35</v>
      </c>
      <c r="D127" t="s">
        <v>36</v>
      </c>
      <c r="E127" t="s">
        <v>37</v>
      </c>
      <c r="F127" t="s">
        <v>37</v>
      </c>
      <c r="G127" t="s">
        <v>37</v>
      </c>
      <c r="J127" t="s">
        <v>43</v>
      </c>
      <c r="K127">
        <v>203898225</v>
      </c>
      <c r="L127" t="s">
        <v>397</v>
      </c>
      <c r="M127">
        <v>13.27</v>
      </c>
      <c r="O127" t="s">
        <v>398</v>
      </c>
      <c r="P127" t="s">
        <v>46</v>
      </c>
      <c r="Q127">
        <v>9017.8</v>
      </c>
      <c r="R127" t="s">
        <v>399</v>
      </c>
      <c r="S127">
        <v>5000</v>
      </c>
      <c r="T127">
        <v>1</v>
      </c>
      <c r="U127">
        <v>5000</v>
      </c>
      <c r="V127">
        <v>1</v>
      </c>
      <c r="W127">
        <v>0.0</v>
      </c>
      <c r="X127">
        <v>0.0</v>
      </c>
      <c r="Y127">
        <v>0.0</v>
      </c>
      <c r="Z127">
        <v>0.0</v>
      </c>
      <c r="AA127">
        <v>0.0</v>
      </c>
      <c r="AB127">
        <v>0.0</v>
      </c>
      <c r="AC127">
        <v>0.0</v>
      </c>
      <c r="AD127">
        <v>0.0</v>
      </c>
      <c r="AG127" t="str">
        <f>HYPERLINK("https://fwc26.smmarta.com/nomenclature/1089/images-download", "Download")</f>
        <v>0</v>
      </c>
    </row>
    <row r="128" spans="1:33">
      <c r="A128" t="s">
        <v>400</v>
      </c>
      <c r="B128" t="s">
        <v>401</v>
      </c>
      <c r="C128" t="s">
        <v>35</v>
      </c>
      <c r="D128" t="s">
        <v>36</v>
      </c>
      <c r="E128" t="s">
        <v>37</v>
      </c>
      <c r="F128" t="s">
        <v>37</v>
      </c>
      <c r="G128" t="s">
        <v>37</v>
      </c>
      <c r="J128" t="s">
        <v>43</v>
      </c>
      <c r="K128">
        <v>334848172</v>
      </c>
      <c r="L128" t="s">
        <v>402</v>
      </c>
      <c r="M128">
        <v>69.97</v>
      </c>
      <c r="O128" t="s">
        <v>403</v>
      </c>
      <c r="P128" t="s">
        <v>46</v>
      </c>
      <c r="Q128">
        <v>9017.8</v>
      </c>
      <c r="R128" t="s">
        <v>180</v>
      </c>
      <c r="S128">
        <v>65</v>
      </c>
      <c r="T128">
        <v>1</v>
      </c>
      <c r="U128">
        <v>65</v>
      </c>
      <c r="V128">
        <v>1</v>
      </c>
      <c r="W128">
        <v>0.0</v>
      </c>
      <c r="X128">
        <v>0.0</v>
      </c>
      <c r="Y128">
        <v>0.0</v>
      </c>
      <c r="Z128">
        <v>0.0</v>
      </c>
      <c r="AA128">
        <v>0.0</v>
      </c>
      <c r="AB128">
        <v>0.0</v>
      </c>
      <c r="AC128">
        <v>0.0</v>
      </c>
      <c r="AD128">
        <v>0.0</v>
      </c>
      <c r="AE128" t="s">
        <v>404</v>
      </c>
      <c r="AG128" t="str">
        <f>HYPERLINK("https://fwc26.smmarta.com/nomenclature/1090/images-download", "Download")</f>
        <v>0</v>
      </c>
    </row>
    <row r="129" spans="1:33">
      <c r="A129" t="s">
        <v>405</v>
      </c>
      <c r="B129" t="s">
        <v>406</v>
      </c>
      <c r="C129" t="s">
        <v>35</v>
      </c>
      <c r="D129" t="s">
        <v>36</v>
      </c>
      <c r="E129" t="s">
        <v>37</v>
      </c>
      <c r="F129" t="s">
        <v>37</v>
      </c>
      <c r="G129" t="s">
        <v>37</v>
      </c>
      <c r="J129" t="s">
        <v>62</v>
      </c>
      <c r="M129">
        <v>567</v>
      </c>
      <c r="R129" t="s">
        <v>48</v>
      </c>
      <c r="S129">
        <v>2</v>
      </c>
      <c r="T129">
        <v>1</v>
      </c>
      <c r="U129">
        <v>2</v>
      </c>
      <c r="V129">
        <v>1</v>
      </c>
      <c r="W129">
        <v>0.0</v>
      </c>
      <c r="X129">
        <v>0.0</v>
      </c>
      <c r="Y129">
        <v>0.0</v>
      </c>
      <c r="Z129">
        <v>0.0</v>
      </c>
      <c r="AA129">
        <v>0.0</v>
      </c>
      <c r="AB129">
        <v>0.0</v>
      </c>
      <c r="AC129">
        <v>0.0</v>
      </c>
      <c r="AD129">
        <v>0.0</v>
      </c>
    </row>
    <row r="130" spans="1:33">
      <c r="A130" t="s">
        <v>407</v>
      </c>
      <c r="B130" t="s">
        <v>408</v>
      </c>
      <c r="C130" t="s">
        <v>35</v>
      </c>
      <c r="D130" t="s">
        <v>36</v>
      </c>
      <c r="E130" t="s">
        <v>37</v>
      </c>
      <c r="F130" t="s">
        <v>37</v>
      </c>
      <c r="G130" t="s">
        <v>37</v>
      </c>
      <c r="J130" t="s">
        <v>43</v>
      </c>
      <c r="K130">
        <v>301711717</v>
      </c>
      <c r="L130" t="s">
        <v>409</v>
      </c>
      <c r="M130">
        <v>338.99</v>
      </c>
      <c r="O130" t="s">
        <v>410</v>
      </c>
      <c r="P130" t="s">
        <v>46</v>
      </c>
      <c r="Q130">
        <v>8427.9</v>
      </c>
      <c r="R130" t="s">
        <v>48</v>
      </c>
      <c r="S130">
        <v>2</v>
      </c>
      <c r="T130">
        <v>1</v>
      </c>
      <c r="U130">
        <v>2</v>
      </c>
      <c r="V130">
        <v>1</v>
      </c>
      <c r="W130">
        <v>0.0</v>
      </c>
      <c r="X130">
        <v>0.0</v>
      </c>
      <c r="Y130">
        <v>0.0</v>
      </c>
      <c r="Z130">
        <v>0.0</v>
      </c>
      <c r="AA130">
        <v>0.0</v>
      </c>
      <c r="AB130">
        <v>0.0</v>
      </c>
      <c r="AC130">
        <v>0.0</v>
      </c>
      <c r="AD130">
        <v>0.0</v>
      </c>
      <c r="AE130" t="s">
        <v>411</v>
      </c>
      <c r="AG130" t="str">
        <f>HYPERLINK("https://fwc26.smmarta.com/nomenclature/752/images-download", "Download")</f>
        <v>0</v>
      </c>
    </row>
    <row r="131" spans="1:33">
      <c r="A131" t="s">
        <v>412</v>
      </c>
      <c r="B131" t="s">
        <v>413</v>
      </c>
      <c r="C131" t="s">
        <v>35</v>
      </c>
      <c r="D131" t="s">
        <v>36</v>
      </c>
      <c r="E131" t="s">
        <v>37</v>
      </c>
      <c r="F131" t="s">
        <v>37</v>
      </c>
      <c r="G131" t="s">
        <v>37</v>
      </c>
      <c r="J131" t="s">
        <v>62</v>
      </c>
      <c r="M131">
        <v>784</v>
      </c>
      <c r="R131" t="s">
        <v>48</v>
      </c>
      <c r="S131">
        <v>2</v>
      </c>
      <c r="T131">
        <v>1</v>
      </c>
      <c r="U131">
        <v>2</v>
      </c>
      <c r="V131">
        <v>1</v>
      </c>
      <c r="W131">
        <v>0.0</v>
      </c>
      <c r="X131">
        <v>0.0</v>
      </c>
      <c r="Y131">
        <v>0.0</v>
      </c>
      <c r="Z131">
        <v>0.0</v>
      </c>
      <c r="AA131">
        <v>0.0</v>
      </c>
      <c r="AB131">
        <v>0.0</v>
      </c>
      <c r="AC131">
        <v>0.0</v>
      </c>
      <c r="AD131">
        <v>0.0</v>
      </c>
    </row>
    <row r="132" spans="1:33">
      <c r="A132" t="s">
        <v>414</v>
      </c>
      <c r="B132" t="s">
        <v>415</v>
      </c>
      <c r="C132" t="s">
        <v>35</v>
      </c>
      <c r="D132" t="s">
        <v>36</v>
      </c>
      <c r="E132" t="s">
        <v>37</v>
      </c>
      <c r="F132" t="s">
        <v>37</v>
      </c>
      <c r="G132" t="s">
        <v>37</v>
      </c>
      <c r="J132" t="s">
        <v>43</v>
      </c>
      <c r="K132">
        <v>1006130996</v>
      </c>
      <c r="L132" t="s">
        <v>416</v>
      </c>
      <c r="M132">
        <v>583.41</v>
      </c>
      <c r="O132" t="s">
        <v>417</v>
      </c>
      <c r="P132" t="s">
        <v>46</v>
      </c>
      <c r="Q132">
        <v>8716.8</v>
      </c>
      <c r="R132" t="s">
        <v>144</v>
      </c>
      <c r="S132">
        <v>2</v>
      </c>
      <c r="T132">
        <v>1</v>
      </c>
      <c r="U132">
        <v>2</v>
      </c>
      <c r="V132">
        <v>1</v>
      </c>
      <c r="W132">
        <v>0.0</v>
      </c>
      <c r="X132">
        <v>0.0</v>
      </c>
      <c r="Y132">
        <v>0.0</v>
      </c>
      <c r="Z132">
        <v>0.0</v>
      </c>
      <c r="AA132">
        <v>0.0</v>
      </c>
      <c r="AB132">
        <v>0.0</v>
      </c>
      <c r="AC132">
        <v>0.0</v>
      </c>
      <c r="AD132">
        <v>0.0</v>
      </c>
      <c r="AE132" t="s">
        <v>411</v>
      </c>
      <c r="AG132" t="str">
        <f>HYPERLINK("https://fwc26.smmarta.com/nomenclature/753/images-download", "Download")</f>
        <v>0</v>
      </c>
    </row>
    <row r="133" spans="1:33">
      <c r="A133" t="s">
        <v>418</v>
      </c>
      <c r="B133" t="s">
        <v>419</v>
      </c>
      <c r="C133" t="s">
        <v>35</v>
      </c>
      <c r="D133" t="s">
        <v>36</v>
      </c>
      <c r="E133" t="s">
        <v>37</v>
      </c>
      <c r="F133" t="s">
        <v>37</v>
      </c>
      <c r="G133" t="s">
        <v>37</v>
      </c>
      <c r="J133" t="s">
        <v>62</v>
      </c>
      <c r="M133">
        <v>343</v>
      </c>
      <c r="Q133" t="s">
        <v>420</v>
      </c>
      <c r="R133" t="s">
        <v>180</v>
      </c>
      <c r="S133">
        <v>6</v>
      </c>
      <c r="T133">
        <v>1</v>
      </c>
      <c r="U133">
        <v>6</v>
      </c>
      <c r="V133">
        <v>1</v>
      </c>
      <c r="W133">
        <v>0.0</v>
      </c>
      <c r="X133">
        <v>0.0</v>
      </c>
      <c r="Y133">
        <v>0.0</v>
      </c>
      <c r="Z133">
        <v>0.0</v>
      </c>
      <c r="AA133">
        <v>0.0</v>
      </c>
      <c r="AB133">
        <v>0.0</v>
      </c>
      <c r="AC133">
        <v>0.0</v>
      </c>
      <c r="AD133">
        <v>0.0</v>
      </c>
    </row>
    <row r="134" spans="1:33">
      <c r="A134" t="s">
        <v>421</v>
      </c>
      <c r="B134" t="s">
        <v>422</v>
      </c>
      <c r="C134" t="s">
        <v>35</v>
      </c>
      <c r="D134" t="s">
        <v>36</v>
      </c>
      <c r="E134" t="s">
        <v>37</v>
      </c>
      <c r="F134" t="s">
        <v>37</v>
      </c>
      <c r="G134" t="s">
        <v>37</v>
      </c>
      <c r="J134" t="s">
        <v>43</v>
      </c>
      <c r="K134">
        <v>1010053313</v>
      </c>
      <c r="L134" t="s">
        <v>423</v>
      </c>
      <c r="M134">
        <v>229</v>
      </c>
      <c r="O134" t="s">
        <v>424</v>
      </c>
      <c r="P134" t="s">
        <v>46</v>
      </c>
      <c r="Q134">
        <v>8716.8</v>
      </c>
      <c r="R134" t="s">
        <v>48</v>
      </c>
      <c r="S134">
        <v>6</v>
      </c>
      <c r="T134">
        <v>1</v>
      </c>
      <c r="U134">
        <v>6</v>
      </c>
      <c r="V134">
        <v>1</v>
      </c>
      <c r="W134">
        <v>0.0</v>
      </c>
      <c r="X134">
        <v>0.0</v>
      </c>
      <c r="Y134">
        <v>0.0</v>
      </c>
      <c r="Z134">
        <v>0.0</v>
      </c>
      <c r="AA134">
        <v>0.0</v>
      </c>
      <c r="AB134">
        <v>0.0</v>
      </c>
      <c r="AC134">
        <v>0.0</v>
      </c>
      <c r="AD134">
        <v>0.0</v>
      </c>
      <c r="AE134" t="s">
        <v>411</v>
      </c>
      <c r="AG134" t="str">
        <f>HYPERLINK("https://fwc26.smmarta.com/nomenclature/754/images-download", "Download")</f>
        <v>0</v>
      </c>
    </row>
    <row r="135" spans="1:33">
      <c r="A135" t="s">
        <v>425</v>
      </c>
      <c r="B135" t="s">
        <v>426</v>
      </c>
      <c r="C135" t="s">
        <v>35</v>
      </c>
      <c r="D135" t="s">
        <v>36</v>
      </c>
      <c r="E135" t="s">
        <v>37</v>
      </c>
      <c r="F135" t="s">
        <v>37</v>
      </c>
      <c r="G135" t="s">
        <v>37</v>
      </c>
      <c r="J135" t="s">
        <v>62</v>
      </c>
      <c r="M135">
        <v>70</v>
      </c>
      <c r="R135" t="s">
        <v>48</v>
      </c>
      <c r="S135">
        <v>12</v>
      </c>
      <c r="T135">
        <v>1</v>
      </c>
      <c r="U135">
        <v>12</v>
      </c>
      <c r="V135">
        <v>1</v>
      </c>
      <c r="W135">
        <v>0.0</v>
      </c>
      <c r="X135">
        <v>0.0</v>
      </c>
      <c r="Y135">
        <v>0.0</v>
      </c>
      <c r="Z135">
        <v>0.0</v>
      </c>
      <c r="AA135">
        <v>0.0</v>
      </c>
      <c r="AB135">
        <v>0.0</v>
      </c>
      <c r="AC135">
        <v>0.0</v>
      </c>
      <c r="AD135">
        <v>0.0</v>
      </c>
    </row>
    <row r="136" spans="1:33">
      <c r="A136" t="s">
        <v>427</v>
      </c>
      <c r="B136" t="s">
        <v>428</v>
      </c>
      <c r="C136" t="s">
        <v>35</v>
      </c>
      <c r="D136" t="s">
        <v>36</v>
      </c>
      <c r="E136" t="s">
        <v>37</v>
      </c>
      <c r="F136" t="s">
        <v>37</v>
      </c>
      <c r="G136" t="s">
        <v>37</v>
      </c>
      <c r="J136" t="s">
        <v>43</v>
      </c>
      <c r="K136">
        <v>315649433</v>
      </c>
      <c r="L136" t="s">
        <v>429</v>
      </c>
      <c r="M136">
        <v>11.98</v>
      </c>
      <c r="O136" t="s">
        <v>430</v>
      </c>
      <c r="P136" t="s">
        <v>46</v>
      </c>
      <c r="Q136">
        <v>8716.8</v>
      </c>
      <c r="R136" t="s">
        <v>48</v>
      </c>
      <c r="S136">
        <v>16</v>
      </c>
      <c r="T136">
        <v>1</v>
      </c>
      <c r="U136">
        <v>16</v>
      </c>
      <c r="V136">
        <v>1</v>
      </c>
      <c r="W136">
        <v>0.0</v>
      </c>
      <c r="X136">
        <v>0.0</v>
      </c>
      <c r="Y136">
        <v>0.0</v>
      </c>
      <c r="Z136">
        <v>0.0</v>
      </c>
      <c r="AA136">
        <v>0.0</v>
      </c>
      <c r="AB136">
        <v>0.0</v>
      </c>
      <c r="AC136">
        <v>0.0</v>
      </c>
      <c r="AD136">
        <v>0.0</v>
      </c>
      <c r="AG136" t="str">
        <f>HYPERLINK("https://fwc26.smmarta.com/nomenclature/1033/images-download", "Download")</f>
        <v>0</v>
      </c>
    </row>
    <row r="137" spans="1:33">
      <c r="A137" t="s">
        <v>431</v>
      </c>
      <c r="B137" t="s">
        <v>432</v>
      </c>
      <c r="C137" t="s">
        <v>35</v>
      </c>
      <c r="D137" t="s">
        <v>36</v>
      </c>
      <c r="E137" t="s">
        <v>37</v>
      </c>
      <c r="F137" t="s">
        <v>113</v>
      </c>
      <c r="G137" t="s">
        <v>37</v>
      </c>
      <c r="J137" t="s">
        <v>62</v>
      </c>
      <c r="M137">
        <v>25</v>
      </c>
      <c r="N137" t="s">
        <v>169</v>
      </c>
      <c r="R137" t="s">
        <v>48</v>
      </c>
      <c r="W137">
        <v>0.0</v>
      </c>
      <c r="X137">
        <v>0.0</v>
      </c>
      <c r="Y137">
        <v>0.0</v>
      </c>
      <c r="Z137">
        <v>0.0</v>
      </c>
      <c r="AA137">
        <v>0.0</v>
      </c>
      <c r="AB137">
        <v>0.0</v>
      </c>
      <c r="AC137">
        <v>0.0</v>
      </c>
      <c r="AD137">
        <v>0.0</v>
      </c>
    </row>
    <row r="138" spans="1:33">
      <c r="A138" t="s">
        <v>433</v>
      </c>
      <c r="B138" t="s">
        <v>434</v>
      </c>
      <c r="C138" t="s">
        <v>35</v>
      </c>
      <c r="D138" t="s">
        <v>36</v>
      </c>
      <c r="E138" t="s">
        <v>37</v>
      </c>
      <c r="F138" t="s">
        <v>113</v>
      </c>
      <c r="G138" t="s">
        <v>37</v>
      </c>
      <c r="J138" t="s">
        <v>43</v>
      </c>
      <c r="K138">
        <v>205326928</v>
      </c>
      <c r="L138" t="s">
        <v>435</v>
      </c>
      <c r="M138">
        <v>27.43</v>
      </c>
      <c r="O138" t="s">
        <v>436</v>
      </c>
      <c r="P138" t="s">
        <v>46</v>
      </c>
      <c r="Q138">
        <v>5607.5</v>
      </c>
      <c r="R138" t="s">
        <v>437</v>
      </c>
      <c r="W138">
        <v>0.0</v>
      </c>
      <c r="X138">
        <v>0.0</v>
      </c>
      <c r="Y138">
        <v>0.0</v>
      </c>
      <c r="Z138">
        <v>0.0</v>
      </c>
      <c r="AA138">
        <v>0.0</v>
      </c>
      <c r="AB138">
        <v>0.0</v>
      </c>
      <c r="AC138">
        <v>0.0</v>
      </c>
      <c r="AD138">
        <v>0.0</v>
      </c>
      <c r="AG138" t="str">
        <f>HYPERLINK("https://fwc26.smmarta.com/nomenclature/755/images-download", "Download")</f>
        <v>0</v>
      </c>
    </row>
    <row r="139" spans="1:33">
      <c r="A139" t="s">
        <v>438</v>
      </c>
      <c r="B139" t="s">
        <v>439</v>
      </c>
      <c r="C139" t="s">
        <v>35</v>
      </c>
      <c r="D139" t="s">
        <v>36</v>
      </c>
      <c r="E139" t="s">
        <v>37</v>
      </c>
      <c r="F139" t="s">
        <v>113</v>
      </c>
      <c r="G139" t="s">
        <v>37</v>
      </c>
      <c r="J139" t="s">
        <v>62</v>
      </c>
      <c r="M139">
        <v>2</v>
      </c>
      <c r="N139" t="s">
        <v>169</v>
      </c>
      <c r="R139" t="s">
        <v>48</v>
      </c>
      <c r="S139">
        <v>60000</v>
      </c>
      <c r="T139">
        <v>1</v>
      </c>
      <c r="U139">
        <v>60000</v>
      </c>
      <c r="V139">
        <v>1</v>
      </c>
      <c r="W139">
        <v>0.0</v>
      </c>
      <c r="X139">
        <v>0.0</v>
      </c>
      <c r="Y139">
        <v>0.0</v>
      </c>
      <c r="Z139">
        <v>0.0</v>
      </c>
      <c r="AA139">
        <v>0.0</v>
      </c>
      <c r="AB139">
        <v>0.0</v>
      </c>
      <c r="AC139">
        <v>0.0</v>
      </c>
      <c r="AD139">
        <v>0.0</v>
      </c>
    </row>
    <row r="140" spans="1:33">
      <c r="A140" t="s">
        <v>440</v>
      </c>
      <c r="B140" t="s">
        <v>441</v>
      </c>
      <c r="C140" t="s">
        <v>35</v>
      </c>
      <c r="D140" t="s">
        <v>36</v>
      </c>
      <c r="E140" t="s">
        <v>37</v>
      </c>
      <c r="F140" t="s">
        <v>113</v>
      </c>
      <c r="G140" t="s">
        <v>37</v>
      </c>
      <c r="J140" t="s">
        <v>363</v>
      </c>
      <c r="K140">
        <v>329786556</v>
      </c>
      <c r="M140">
        <v>4.84</v>
      </c>
      <c r="N140" t="s">
        <v>169</v>
      </c>
      <c r="Q140" t="s">
        <v>442</v>
      </c>
      <c r="R140" t="s">
        <v>48</v>
      </c>
      <c r="S140">
        <v>8000</v>
      </c>
      <c r="T140">
        <v>1</v>
      </c>
      <c r="U140">
        <v>8000</v>
      </c>
      <c r="V140">
        <v>1</v>
      </c>
      <c r="W140">
        <v>0.0</v>
      </c>
      <c r="X140">
        <v>0.0</v>
      </c>
      <c r="Y140">
        <v>0.0</v>
      </c>
      <c r="Z140">
        <v>0.0</v>
      </c>
      <c r="AA140">
        <v>0.0</v>
      </c>
      <c r="AB140">
        <v>0.0</v>
      </c>
      <c r="AC140">
        <v>0.0</v>
      </c>
      <c r="AD140">
        <v>0.0</v>
      </c>
    </row>
    <row r="141" spans="1:33">
      <c r="A141" t="s">
        <v>443</v>
      </c>
      <c r="B141" t="s">
        <v>444</v>
      </c>
      <c r="C141" t="s">
        <v>35</v>
      </c>
      <c r="D141" t="s">
        <v>36</v>
      </c>
      <c r="E141" t="s">
        <v>37</v>
      </c>
      <c r="F141" t="s">
        <v>113</v>
      </c>
      <c r="G141" t="s">
        <v>37</v>
      </c>
      <c r="H141">
        <v>12</v>
      </c>
      <c r="J141" t="s">
        <v>312</v>
      </c>
      <c r="K141" t="s">
        <v>445</v>
      </c>
      <c r="M141">
        <v>15</v>
      </c>
      <c r="W141">
        <v>0.0</v>
      </c>
      <c r="X141">
        <v>0.0</v>
      </c>
      <c r="Y141">
        <v>0.0</v>
      </c>
      <c r="Z141">
        <v>0.0</v>
      </c>
      <c r="AA141">
        <v>0.0</v>
      </c>
      <c r="AB141">
        <v>0.0</v>
      </c>
      <c r="AC141">
        <v>0.0</v>
      </c>
      <c r="AD141">
        <v>0.0</v>
      </c>
    </row>
    <row r="142" spans="1:33">
      <c r="A142" t="s">
        <v>446</v>
      </c>
      <c r="B142" t="s">
        <v>447</v>
      </c>
      <c r="C142" t="s">
        <v>35</v>
      </c>
      <c r="D142" t="s">
        <v>36</v>
      </c>
      <c r="E142" t="s">
        <v>37</v>
      </c>
      <c r="F142" t="s">
        <v>113</v>
      </c>
      <c r="G142" t="s">
        <v>37</v>
      </c>
      <c r="J142" t="s">
        <v>62</v>
      </c>
      <c r="M142">
        <v>175</v>
      </c>
      <c r="N142" t="s">
        <v>169</v>
      </c>
      <c r="R142" t="s">
        <v>48</v>
      </c>
      <c r="S142">
        <v>20</v>
      </c>
      <c r="T142">
        <v>1</v>
      </c>
      <c r="U142">
        <v>20</v>
      </c>
      <c r="V142">
        <v>1</v>
      </c>
      <c r="W142">
        <v>0.0</v>
      </c>
      <c r="X142">
        <v>0.0</v>
      </c>
      <c r="Y142">
        <v>0.0</v>
      </c>
      <c r="Z142">
        <v>0.0</v>
      </c>
      <c r="AA142">
        <v>0.0</v>
      </c>
      <c r="AB142">
        <v>0.0</v>
      </c>
      <c r="AC142">
        <v>0.0</v>
      </c>
      <c r="AD142">
        <v>0.0</v>
      </c>
    </row>
    <row r="143" spans="1:33">
      <c r="A143" t="s">
        <v>448</v>
      </c>
      <c r="B143" t="s">
        <v>449</v>
      </c>
      <c r="C143" t="s">
        <v>35</v>
      </c>
      <c r="D143" t="s">
        <v>36</v>
      </c>
      <c r="E143" t="s">
        <v>37</v>
      </c>
      <c r="F143" t="s">
        <v>113</v>
      </c>
      <c r="G143" t="s">
        <v>37</v>
      </c>
      <c r="J143" t="s">
        <v>43</v>
      </c>
      <c r="K143">
        <v>323459850</v>
      </c>
      <c r="L143" t="s">
        <v>450</v>
      </c>
      <c r="M143">
        <v>203.06</v>
      </c>
      <c r="N143" t="s">
        <v>169</v>
      </c>
      <c r="O143" t="s">
        <v>451</v>
      </c>
      <c r="P143" t="s">
        <v>46</v>
      </c>
      <c r="Q143">
        <v>3923.29</v>
      </c>
      <c r="R143" t="s">
        <v>144</v>
      </c>
      <c r="S143">
        <v>2</v>
      </c>
      <c r="T143">
        <v>1</v>
      </c>
      <c r="U143">
        <v>2</v>
      </c>
      <c r="V143">
        <v>1</v>
      </c>
      <c r="W143">
        <v>0.0</v>
      </c>
      <c r="X143">
        <v>0.0</v>
      </c>
      <c r="Y143">
        <v>0.0</v>
      </c>
      <c r="Z143">
        <v>0.0</v>
      </c>
      <c r="AA143">
        <v>0.0</v>
      </c>
      <c r="AB143">
        <v>0.0</v>
      </c>
      <c r="AC143">
        <v>0.0</v>
      </c>
      <c r="AD143">
        <v>0.0</v>
      </c>
      <c r="AG143" t="str">
        <f>HYPERLINK("https://fwc26.smmarta.com/nomenclature/1037/images-download", "Download")</f>
        <v>0</v>
      </c>
    </row>
    <row r="144" spans="1:33">
      <c r="A144" t="s">
        <v>452</v>
      </c>
      <c r="B144" t="s">
        <v>453</v>
      </c>
      <c r="C144" t="s">
        <v>35</v>
      </c>
      <c r="D144" t="s">
        <v>228</v>
      </c>
      <c r="E144" t="s">
        <v>37</v>
      </c>
      <c r="F144" t="s">
        <v>113</v>
      </c>
      <c r="G144" t="s">
        <v>37</v>
      </c>
      <c r="J144" t="s">
        <v>62</v>
      </c>
      <c r="M144">
        <v>16</v>
      </c>
      <c r="N144" t="s">
        <v>169</v>
      </c>
      <c r="R144" t="s">
        <v>48</v>
      </c>
      <c r="W144">
        <v>0.0</v>
      </c>
      <c r="X144">
        <v>0.0</v>
      </c>
      <c r="Y144">
        <v>0.0</v>
      </c>
      <c r="Z144">
        <v>0.0</v>
      </c>
      <c r="AA144">
        <v>0.0</v>
      </c>
      <c r="AB144">
        <v>0.0</v>
      </c>
      <c r="AC144">
        <v>0.0</v>
      </c>
      <c r="AD144">
        <v>0.0</v>
      </c>
    </row>
    <row r="145" spans="1:33">
      <c r="A145" t="s">
        <v>454</v>
      </c>
      <c r="B145" t="s">
        <v>455</v>
      </c>
      <c r="C145" t="s">
        <v>35</v>
      </c>
      <c r="D145" t="s">
        <v>228</v>
      </c>
      <c r="E145" t="s">
        <v>37</v>
      </c>
      <c r="F145" t="s">
        <v>113</v>
      </c>
      <c r="G145" t="s">
        <v>37</v>
      </c>
      <c r="H145">
        <v>10</v>
      </c>
      <c r="J145" t="s">
        <v>43</v>
      </c>
      <c r="K145">
        <v>333541112</v>
      </c>
      <c r="L145" t="s">
        <v>456</v>
      </c>
      <c r="M145">
        <v>99.77</v>
      </c>
      <c r="N145" t="s">
        <v>169</v>
      </c>
      <c r="O145" t="s">
        <v>457</v>
      </c>
      <c r="P145" t="s">
        <v>46</v>
      </c>
      <c r="Q145">
        <v>3926.9</v>
      </c>
      <c r="R145" t="s">
        <v>48</v>
      </c>
      <c r="S145">
        <v>10000</v>
      </c>
      <c r="T145">
        <v>1</v>
      </c>
      <c r="U145">
        <v>10000</v>
      </c>
      <c r="V145">
        <v>1</v>
      </c>
      <c r="W145">
        <v>0.0</v>
      </c>
      <c r="X145">
        <v>0.0</v>
      </c>
      <c r="Y145">
        <v>0.0</v>
      </c>
      <c r="Z145">
        <v>0.0</v>
      </c>
      <c r="AA145">
        <v>0.0</v>
      </c>
      <c r="AB145">
        <v>0.0</v>
      </c>
      <c r="AC145">
        <v>0.0</v>
      </c>
      <c r="AD145">
        <v>0.0</v>
      </c>
      <c r="AG145" t="str">
        <f>HYPERLINK("https://fwc26.smmarta.com/nomenclature/1039/images-download", "Download")</f>
        <v>0</v>
      </c>
    </row>
    <row r="146" spans="1:33">
      <c r="A146" t="s">
        <v>458</v>
      </c>
      <c r="B146" t="s">
        <v>459</v>
      </c>
      <c r="C146" t="s">
        <v>35</v>
      </c>
      <c r="D146" t="s">
        <v>228</v>
      </c>
      <c r="E146" t="s">
        <v>37</v>
      </c>
      <c r="F146" t="s">
        <v>113</v>
      </c>
      <c r="G146" t="s">
        <v>37</v>
      </c>
      <c r="H146">
        <v>1</v>
      </c>
      <c r="J146" t="s">
        <v>43</v>
      </c>
      <c r="K146">
        <v>309129321</v>
      </c>
      <c r="L146" t="s">
        <v>460</v>
      </c>
      <c r="M146">
        <v>19.99</v>
      </c>
      <c r="N146" t="s">
        <v>169</v>
      </c>
      <c r="W146">
        <v>0.0</v>
      </c>
      <c r="X146">
        <v>0.0</v>
      </c>
      <c r="Y146">
        <v>0.0</v>
      </c>
      <c r="Z146">
        <v>0.0</v>
      </c>
      <c r="AA146">
        <v>0.0</v>
      </c>
      <c r="AB146">
        <v>0.0</v>
      </c>
      <c r="AC146">
        <v>0.0</v>
      </c>
      <c r="AD146">
        <v>0.0</v>
      </c>
    </row>
    <row r="147" spans="1:33">
      <c r="A147" t="s">
        <v>461</v>
      </c>
      <c r="B147" t="s">
        <v>462</v>
      </c>
      <c r="C147" t="s">
        <v>35</v>
      </c>
      <c r="D147" t="s">
        <v>36</v>
      </c>
      <c r="E147" t="s">
        <v>37</v>
      </c>
      <c r="F147" t="s">
        <v>37</v>
      </c>
      <c r="G147" t="s">
        <v>37</v>
      </c>
      <c r="J147" t="s">
        <v>62</v>
      </c>
      <c r="M147">
        <v>93</v>
      </c>
      <c r="Q147" t="s">
        <v>463</v>
      </c>
      <c r="R147" t="s">
        <v>180</v>
      </c>
      <c r="S147">
        <v>400</v>
      </c>
      <c r="T147">
        <v>1</v>
      </c>
      <c r="U147">
        <v>400</v>
      </c>
      <c r="V147">
        <v>1</v>
      </c>
      <c r="W147">
        <v>0.0</v>
      </c>
      <c r="X147">
        <v>0.0</v>
      </c>
      <c r="Y147">
        <v>0.0</v>
      </c>
      <c r="Z147">
        <v>0.0</v>
      </c>
      <c r="AA147">
        <v>0.0</v>
      </c>
      <c r="AB147">
        <v>0.0</v>
      </c>
      <c r="AC147">
        <v>0.0</v>
      </c>
      <c r="AD147">
        <v>0.0</v>
      </c>
    </row>
    <row r="148" spans="1:33">
      <c r="A148" t="s">
        <v>464</v>
      </c>
      <c r="B148" t="s">
        <v>465</v>
      </c>
      <c r="C148" t="s">
        <v>35</v>
      </c>
      <c r="D148" t="s">
        <v>36</v>
      </c>
      <c r="E148" t="s">
        <v>37</v>
      </c>
      <c r="F148" t="s">
        <v>37</v>
      </c>
      <c r="G148" t="s">
        <v>37</v>
      </c>
      <c r="J148" t="s">
        <v>43</v>
      </c>
      <c r="K148">
        <v>100648034</v>
      </c>
      <c r="L148" t="s">
        <v>466</v>
      </c>
      <c r="M148">
        <v>125.33</v>
      </c>
      <c r="O148" t="s">
        <v>467</v>
      </c>
      <c r="P148" t="s">
        <v>46</v>
      </c>
      <c r="Q148">
        <v>8203.4</v>
      </c>
      <c r="R148" t="s">
        <v>180</v>
      </c>
      <c r="S148">
        <v>200</v>
      </c>
      <c r="T148">
        <v>1</v>
      </c>
      <c r="U148">
        <v>200</v>
      </c>
      <c r="V148">
        <v>1</v>
      </c>
      <c r="W148">
        <v>0.0</v>
      </c>
      <c r="X148">
        <v>0.0</v>
      </c>
      <c r="Y148">
        <v>0.0</v>
      </c>
      <c r="Z148">
        <v>0.0</v>
      </c>
      <c r="AA148">
        <v>0.0</v>
      </c>
      <c r="AB148">
        <v>0.0</v>
      </c>
      <c r="AC148">
        <v>0.0</v>
      </c>
      <c r="AD148">
        <v>0.0</v>
      </c>
      <c r="AG148" t="str">
        <f>HYPERLINK("https://fwc26.smmarta.com/nomenclature/1041/images-download", "Download")</f>
        <v>0</v>
      </c>
    </row>
    <row r="149" spans="1:33">
      <c r="A149" t="s">
        <v>468</v>
      </c>
      <c r="B149" t="s">
        <v>469</v>
      </c>
      <c r="C149" t="s">
        <v>35</v>
      </c>
      <c r="D149" t="s">
        <v>36</v>
      </c>
      <c r="E149" t="s">
        <v>37</v>
      </c>
      <c r="F149" t="s">
        <v>37</v>
      </c>
      <c r="G149" t="s">
        <v>37</v>
      </c>
      <c r="J149" t="s">
        <v>62</v>
      </c>
      <c r="M149">
        <v>371</v>
      </c>
      <c r="Q149" t="s">
        <v>470</v>
      </c>
      <c r="R149" t="s">
        <v>471</v>
      </c>
      <c r="S149">
        <v>24</v>
      </c>
      <c r="T149">
        <v>1</v>
      </c>
      <c r="U149">
        <v>24</v>
      </c>
      <c r="V149">
        <v>1</v>
      </c>
      <c r="W149">
        <v>0.0</v>
      </c>
      <c r="X149">
        <v>0.0</v>
      </c>
      <c r="Y149">
        <v>0.0</v>
      </c>
      <c r="Z149">
        <v>0.0</v>
      </c>
      <c r="AA149">
        <v>0.0</v>
      </c>
      <c r="AB149">
        <v>0.0</v>
      </c>
      <c r="AC149">
        <v>0.0</v>
      </c>
      <c r="AD149">
        <v>0.0</v>
      </c>
    </row>
    <row r="150" spans="1:33">
      <c r="A150" t="s">
        <v>472</v>
      </c>
      <c r="B150" t="s">
        <v>473</v>
      </c>
      <c r="C150" t="s">
        <v>35</v>
      </c>
      <c r="D150" t="s">
        <v>204</v>
      </c>
      <c r="E150" t="s">
        <v>37</v>
      </c>
      <c r="F150" t="s">
        <v>37</v>
      </c>
      <c r="G150" t="s">
        <v>37</v>
      </c>
      <c r="J150" t="s">
        <v>43</v>
      </c>
      <c r="K150">
        <v>325544370</v>
      </c>
      <c r="L150" t="s">
        <v>474</v>
      </c>
      <c r="M150">
        <v>199</v>
      </c>
      <c r="O150" t="s">
        <v>475</v>
      </c>
      <c r="P150" t="s">
        <v>46</v>
      </c>
      <c r="Q150">
        <v>8467.21</v>
      </c>
      <c r="R150" t="s">
        <v>48</v>
      </c>
      <c r="S150">
        <v>60</v>
      </c>
      <c r="T150">
        <v>1</v>
      </c>
      <c r="U150">
        <v>60</v>
      </c>
      <c r="V150">
        <v>1</v>
      </c>
      <c r="W150">
        <v>0.0</v>
      </c>
      <c r="X150">
        <v>0.0</v>
      </c>
      <c r="Y150">
        <v>0.0</v>
      </c>
      <c r="Z150">
        <v>0.0</v>
      </c>
      <c r="AA150">
        <v>0.0</v>
      </c>
      <c r="AB150">
        <v>0.0</v>
      </c>
      <c r="AC150">
        <v>0.0</v>
      </c>
      <c r="AD150">
        <v>0.0</v>
      </c>
      <c r="AG150" t="str">
        <f>HYPERLINK("https://fwc26.smmarta.com/nomenclature/1043/images-download", "Download")</f>
        <v>0</v>
      </c>
    </row>
    <row r="151" spans="1:33">
      <c r="A151" t="s">
        <v>476</v>
      </c>
      <c r="B151" t="s">
        <v>477</v>
      </c>
      <c r="C151" t="s">
        <v>35</v>
      </c>
      <c r="D151" t="s">
        <v>36</v>
      </c>
      <c r="E151" t="s">
        <v>37</v>
      </c>
      <c r="F151" t="s">
        <v>37</v>
      </c>
      <c r="G151" t="s">
        <v>37</v>
      </c>
      <c r="J151" t="s">
        <v>478</v>
      </c>
      <c r="W151">
        <v>0.0</v>
      </c>
      <c r="X151">
        <v>0.0</v>
      </c>
      <c r="Y151">
        <v>0.0</v>
      </c>
      <c r="Z151">
        <v>0.0</v>
      </c>
      <c r="AA151">
        <v>0.0</v>
      </c>
      <c r="AB151">
        <v>0.0</v>
      </c>
      <c r="AC151">
        <v>0.0</v>
      </c>
      <c r="AD151">
        <v>0.0</v>
      </c>
    </row>
    <row r="152" spans="1:33">
      <c r="A152" t="s">
        <v>479</v>
      </c>
      <c r="B152" t="s">
        <v>480</v>
      </c>
      <c r="C152" t="s">
        <v>35</v>
      </c>
      <c r="D152" t="s">
        <v>36</v>
      </c>
      <c r="E152" t="s">
        <v>37</v>
      </c>
      <c r="F152" t="s">
        <v>37</v>
      </c>
      <c r="G152" t="s">
        <v>37</v>
      </c>
      <c r="J152" t="s">
        <v>478</v>
      </c>
      <c r="W152">
        <v>0.0</v>
      </c>
      <c r="X152">
        <v>0.0</v>
      </c>
      <c r="Y152">
        <v>0.0</v>
      </c>
      <c r="Z152">
        <v>0.0</v>
      </c>
      <c r="AA152">
        <v>0.0</v>
      </c>
      <c r="AB152">
        <v>0.0</v>
      </c>
      <c r="AC152">
        <v>0.0</v>
      </c>
      <c r="AD152">
        <v>0.0</v>
      </c>
    </row>
    <row r="153" spans="1:33">
      <c r="A153" t="s">
        <v>481</v>
      </c>
      <c r="B153" t="s">
        <v>482</v>
      </c>
      <c r="C153" t="s">
        <v>35</v>
      </c>
      <c r="D153" t="s">
        <v>36</v>
      </c>
      <c r="E153" t="s">
        <v>37</v>
      </c>
      <c r="F153" t="s">
        <v>37</v>
      </c>
      <c r="G153" t="s">
        <v>37</v>
      </c>
      <c r="J153" t="s">
        <v>312</v>
      </c>
    </row>
    <row r="154" spans="1:33">
      <c r="A154" t="s">
        <v>483</v>
      </c>
      <c r="B154" t="s">
        <v>484</v>
      </c>
      <c r="C154" t="s">
        <v>35</v>
      </c>
      <c r="D154" t="s">
        <v>204</v>
      </c>
      <c r="E154" t="s">
        <v>37</v>
      </c>
      <c r="F154" t="s">
        <v>37</v>
      </c>
      <c r="G154" t="s">
        <v>37</v>
      </c>
      <c r="H154">
        <v>1</v>
      </c>
      <c r="J154" t="s">
        <v>62</v>
      </c>
      <c r="M154">
        <v>35</v>
      </c>
      <c r="Q154" t="s">
        <v>485</v>
      </c>
      <c r="R154" t="s">
        <v>471</v>
      </c>
      <c r="S154">
        <v>1800</v>
      </c>
      <c r="T154">
        <v>1</v>
      </c>
      <c r="U154">
        <v>1800</v>
      </c>
      <c r="V154">
        <v>1</v>
      </c>
      <c r="W154">
        <v>0.0</v>
      </c>
      <c r="X154">
        <v>0.0</v>
      </c>
      <c r="Y154">
        <v>0.0</v>
      </c>
      <c r="Z154">
        <v>0.0</v>
      </c>
      <c r="AA154">
        <v>0.0</v>
      </c>
      <c r="AB154">
        <v>0.0</v>
      </c>
      <c r="AC154">
        <v>0.0</v>
      </c>
      <c r="AD154">
        <v>0.0</v>
      </c>
      <c r="AG154" t="str">
        <f>HYPERLINK("https://fwc26.smmarta.com/nomenclature/611/images-download", "Download")</f>
        <v>0</v>
      </c>
    </row>
    <row r="155" spans="1:33">
      <c r="A155" t="s">
        <v>486</v>
      </c>
      <c r="B155" t="s">
        <v>487</v>
      </c>
      <c r="C155" t="s">
        <v>35</v>
      </c>
      <c r="D155" t="s">
        <v>204</v>
      </c>
      <c r="E155" t="s">
        <v>37</v>
      </c>
      <c r="F155" t="s">
        <v>37</v>
      </c>
      <c r="G155" t="s">
        <v>37</v>
      </c>
      <c r="J155" t="s">
        <v>43</v>
      </c>
      <c r="K155">
        <v>301024184</v>
      </c>
      <c r="L155" t="s">
        <v>474</v>
      </c>
      <c r="M155">
        <v>19.97</v>
      </c>
      <c r="O155" t="s">
        <v>488</v>
      </c>
      <c r="P155" t="s">
        <v>46</v>
      </c>
      <c r="Q155">
        <v>8207.9</v>
      </c>
      <c r="R155" t="s">
        <v>48</v>
      </c>
      <c r="S155">
        <v>1800</v>
      </c>
      <c r="T155">
        <v>1</v>
      </c>
      <c r="U155">
        <v>1800</v>
      </c>
      <c r="V155">
        <v>1</v>
      </c>
      <c r="W155">
        <v>0.0</v>
      </c>
      <c r="X155">
        <v>0.0</v>
      </c>
      <c r="Y155">
        <v>0.0</v>
      </c>
      <c r="Z155">
        <v>0.0</v>
      </c>
      <c r="AA155">
        <v>0.0</v>
      </c>
      <c r="AB155">
        <v>0.0</v>
      </c>
      <c r="AC155">
        <v>0.0</v>
      </c>
      <c r="AD155">
        <v>0.0</v>
      </c>
      <c r="AG155" t="str">
        <f>HYPERLINK("https://fwc26.smmarta.com/nomenclature/1045/images-download", "Download")</f>
        <v>0</v>
      </c>
    </row>
    <row r="156" spans="1:33">
      <c r="A156" t="s">
        <v>489</v>
      </c>
      <c r="B156" t="s">
        <v>490</v>
      </c>
      <c r="C156" t="s">
        <v>35</v>
      </c>
      <c r="D156" t="s">
        <v>36</v>
      </c>
      <c r="E156" t="s">
        <v>37</v>
      </c>
      <c r="F156" t="s">
        <v>37</v>
      </c>
      <c r="G156" t="s">
        <v>37</v>
      </c>
      <c r="J156" t="s">
        <v>312</v>
      </c>
    </row>
    <row r="157" spans="1:33">
      <c r="A157" t="s">
        <v>491</v>
      </c>
      <c r="B157" t="s">
        <v>492</v>
      </c>
      <c r="C157" t="s">
        <v>35</v>
      </c>
      <c r="D157" t="s">
        <v>204</v>
      </c>
      <c r="E157" t="s">
        <v>37</v>
      </c>
      <c r="F157" t="s">
        <v>37</v>
      </c>
      <c r="G157" t="s">
        <v>37</v>
      </c>
      <c r="H157">
        <v>1</v>
      </c>
      <c r="J157" t="s">
        <v>62</v>
      </c>
      <c r="M157">
        <v>245</v>
      </c>
      <c r="P157" t="s">
        <v>63</v>
      </c>
      <c r="Q157" t="s">
        <v>493</v>
      </c>
      <c r="R157" t="s">
        <v>48</v>
      </c>
      <c r="S157">
        <v>36</v>
      </c>
      <c r="T157">
        <v>1</v>
      </c>
      <c r="U157">
        <v>36</v>
      </c>
      <c r="V157">
        <v>1</v>
      </c>
      <c r="W157">
        <v>0.0</v>
      </c>
      <c r="X157">
        <v>0.0</v>
      </c>
      <c r="Y157">
        <v>0.0</v>
      </c>
      <c r="Z157">
        <v>0.0</v>
      </c>
      <c r="AA157">
        <v>0.0</v>
      </c>
      <c r="AB157">
        <v>0.0</v>
      </c>
      <c r="AC157">
        <v>0.0</v>
      </c>
      <c r="AD157">
        <v>0.0</v>
      </c>
      <c r="AG157" t="str">
        <f>HYPERLINK("https://fwc26.smmarta.com/nomenclature/612/images-download", "Download")</f>
        <v>0</v>
      </c>
    </row>
    <row r="158" spans="1:33">
      <c r="A158" t="s">
        <v>494</v>
      </c>
      <c r="B158" t="s">
        <v>495</v>
      </c>
      <c r="C158" t="s">
        <v>35</v>
      </c>
      <c r="D158" t="s">
        <v>204</v>
      </c>
      <c r="E158" t="s">
        <v>37</v>
      </c>
      <c r="F158" t="s">
        <v>37</v>
      </c>
      <c r="G158" t="s">
        <v>37</v>
      </c>
      <c r="J158" t="s">
        <v>43</v>
      </c>
      <c r="M158">
        <v>96.43</v>
      </c>
      <c r="S158">
        <v>125</v>
      </c>
      <c r="T158">
        <v>1</v>
      </c>
      <c r="U158">
        <v>125</v>
      </c>
      <c r="V158">
        <v>1</v>
      </c>
      <c r="W158">
        <v>0.0</v>
      </c>
      <c r="X158">
        <v>0.0</v>
      </c>
      <c r="Y158">
        <v>0.0</v>
      </c>
      <c r="Z158">
        <v>0.0</v>
      </c>
      <c r="AA158">
        <v>0.0</v>
      </c>
      <c r="AB158">
        <v>0.0</v>
      </c>
      <c r="AC158">
        <v>0.0</v>
      </c>
      <c r="AD158">
        <v>0.0</v>
      </c>
    </row>
    <row r="159" spans="1:33">
      <c r="A159" t="s">
        <v>496</v>
      </c>
      <c r="B159" t="s">
        <v>497</v>
      </c>
      <c r="C159" t="s">
        <v>35</v>
      </c>
      <c r="D159" t="s">
        <v>36</v>
      </c>
      <c r="E159" t="s">
        <v>37</v>
      </c>
      <c r="F159" t="s">
        <v>37</v>
      </c>
      <c r="G159" t="s">
        <v>37</v>
      </c>
      <c r="J159" t="s">
        <v>312</v>
      </c>
    </row>
    <row r="160" spans="1:33">
      <c r="A160" t="s">
        <v>498</v>
      </c>
      <c r="B160" t="s">
        <v>499</v>
      </c>
      <c r="C160" t="s">
        <v>35</v>
      </c>
      <c r="D160" t="s">
        <v>36</v>
      </c>
      <c r="E160" t="s">
        <v>37</v>
      </c>
      <c r="F160" t="s">
        <v>37</v>
      </c>
      <c r="G160" t="s">
        <v>37</v>
      </c>
      <c r="J160" t="s">
        <v>43</v>
      </c>
      <c r="K160">
        <v>307464272</v>
      </c>
      <c r="L160" t="s">
        <v>500</v>
      </c>
      <c r="M160">
        <v>24.97</v>
      </c>
      <c r="O160" t="s">
        <v>501</v>
      </c>
      <c r="P160" t="s">
        <v>46</v>
      </c>
      <c r="Q160">
        <v>3923.3</v>
      </c>
      <c r="R160" t="s">
        <v>144</v>
      </c>
      <c r="S160">
        <v>48</v>
      </c>
      <c r="T160">
        <v>1</v>
      </c>
      <c r="U160">
        <v>48</v>
      </c>
      <c r="V160">
        <v>1</v>
      </c>
      <c r="W160">
        <v>0.0</v>
      </c>
      <c r="X160">
        <v>0.0</v>
      </c>
      <c r="Y160">
        <v>0.0</v>
      </c>
      <c r="Z160">
        <v>0.0</v>
      </c>
      <c r="AA160">
        <v>0.0</v>
      </c>
      <c r="AB160">
        <v>0.0</v>
      </c>
      <c r="AC160">
        <v>0.0</v>
      </c>
      <c r="AD160">
        <v>0.0</v>
      </c>
      <c r="AG160" t="str">
        <f>HYPERLINK("https://fwc26.smmarta.com/nomenclature/1049/images-download", "Download")</f>
        <v>0</v>
      </c>
    </row>
    <row r="161" spans="1:33">
      <c r="A161" t="s">
        <v>502</v>
      </c>
      <c r="B161" t="s">
        <v>503</v>
      </c>
      <c r="C161" t="s">
        <v>35</v>
      </c>
      <c r="D161" t="s">
        <v>36</v>
      </c>
      <c r="E161" t="s">
        <v>37</v>
      </c>
      <c r="F161" t="s">
        <v>37</v>
      </c>
      <c r="G161" t="s">
        <v>37</v>
      </c>
      <c r="H161">
        <v>1</v>
      </c>
      <c r="J161" t="s">
        <v>43</v>
      </c>
      <c r="M161">
        <v>3.48</v>
      </c>
      <c r="Q161" t="s">
        <v>504</v>
      </c>
      <c r="R161" t="s">
        <v>144</v>
      </c>
      <c r="S161">
        <v>75</v>
      </c>
      <c r="T161">
        <v>1</v>
      </c>
      <c r="U161">
        <v>75</v>
      </c>
      <c r="V161">
        <v>1</v>
      </c>
      <c r="W161">
        <v>0.0</v>
      </c>
      <c r="X161">
        <v>0.0</v>
      </c>
      <c r="Y161">
        <v>0.0</v>
      </c>
      <c r="Z161">
        <v>0.0</v>
      </c>
      <c r="AA161">
        <v>0.0</v>
      </c>
      <c r="AB161">
        <v>0.0</v>
      </c>
      <c r="AC161">
        <v>0.0</v>
      </c>
      <c r="AD161">
        <v>0.0</v>
      </c>
    </row>
    <row r="162" spans="1:33">
      <c r="A162" t="s">
        <v>505</v>
      </c>
      <c r="B162" t="s">
        <v>506</v>
      </c>
      <c r="C162" t="s">
        <v>35</v>
      </c>
      <c r="D162" t="s">
        <v>168</v>
      </c>
      <c r="E162" t="s">
        <v>37</v>
      </c>
      <c r="F162" t="s">
        <v>113</v>
      </c>
      <c r="G162" t="s">
        <v>37</v>
      </c>
      <c r="J162" t="s">
        <v>62</v>
      </c>
      <c r="M162">
        <v>29</v>
      </c>
      <c r="N162" t="s">
        <v>169</v>
      </c>
      <c r="R162" t="s">
        <v>170</v>
      </c>
      <c r="W162">
        <v>0.0</v>
      </c>
      <c r="X162">
        <v>0.0</v>
      </c>
      <c r="Y162">
        <v>0.0</v>
      </c>
      <c r="Z162">
        <v>0.0</v>
      </c>
      <c r="AA162">
        <v>0.0</v>
      </c>
      <c r="AB162">
        <v>0.0</v>
      </c>
      <c r="AC162">
        <v>0.0</v>
      </c>
      <c r="AD162">
        <v>0.0</v>
      </c>
    </row>
    <row r="163" spans="1:33">
      <c r="A163" t="s">
        <v>507</v>
      </c>
      <c r="B163" t="s">
        <v>508</v>
      </c>
      <c r="C163" t="s">
        <v>35</v>
      </c>
      <c r="D163" t="s">
        <v>168</v>
      </c>
      <c r="E163" t="s">
        <v>37</v>
      </c>
      <c r="F163" t="s">
        <v>113</v>
      </c>
      <c r="G163" t="s">
        <v>37</v>
      </c>
      <c r="J163" t="s">
        <v>62</v>
      </c>
      <c r="M163">
        <v>29</v>
      </c>
      <c r="N163" t="s">
        <v>169</v>
      </c>
      <c r="R163" t="s">
        <v>509</v>
      </c>
      <c r="W163">
        <v>0.0</v>
      </c>
      <c r="X163">
        <v>0.0</v>
      </c>
      <c r="Y163">
        <v>0.0</v>
      </c>
      <c r="Z163">
        <v>0.0</v>
      </c>
      <c r="AA163">
        <v>0.0</v>
      </c>
      <c r="AB163">
        <v>0.0</v>
      </c>
      <c r="AC163">
        <v>0.0</v>
      </c>
      <c r="AD163">
        <v>0.0</v>
      </c>
    </row>
    <row r="164" spans="1:33">
      <c r="A164" t="s">
        <v>510</v>
      </c>
      <c r="B164" t="s">
        <v>511</v>
      </c>
      <c r="C164" t="s">
        <v>35</v>
      </c>
      <c r="D164" t="s">
        <v>168</v>
      </c>
      <c r="E164" t="s">
        <v>37</v>
      </c>
      <c r="F164" t="s">
        <v>113</v>
      </c>
      <c r="G164" t="s">
        <v>37</v>
      </c>
      <c r="J164" t="s">
        <v>43</v>
      </c>
      <c r="K164">
        <v>205168544</v>
      </c>
      <c r="L164" t="s">
        <v>512</v>
      </c>
      <c r="M164">
        <v>29.39</v>
      </c>
      <c r="O164" t="s">
        <v>513</v>
      </c>
      <c r="P164" t="s">
        <v>46</v>
      </c>
      <c r="Q164">
        <v>3920.2</v>
      </c>
      <c r="R164" t="s">
        <v>48</v>
      </c>
      <c r="W164">
        <v>0.0</v>
      </c>
      <c r="X164">
        <v>0.0</v>
      </c>
      <c r="Y164">
        <v>0.0</v>
      </c>
      <c r="Z164">
        <v>0.0</v>
      </c>
      <c r="AA164">
        <v>0.0</v>
      </c>
      <c r="AB164">
        <v>0.0</v>
      </c>
      <c r="AC164">
        <v>0.0</v>
      </c>
      <c r="AD164">
        <v>0.0</v>
      </c>
      <c r="AG164" t="str">
        <f>HYPERLINK("https://fwc26.smmarta.com/nomenclature/756/images-download", "Download")</f>
        <v>0</v>
      </c>
    </row>
    <row r="165" spans="1:33">
      <c r="A165" t="s">
        <v>514</v>
      </c>
      <c r="B165" t="s">
        <v>515</v>
      </c>
      <c r="C165" t="s">
        <v>35</v>
      </c>
      <c r="D165" t="s">
        <v>168</v>
      </c>
      <c r="E165" t="s">
        <v>37</v>
      </c>
      <c r="F165" t="s">
        <v>113</v>
      </c>
      <c r="G165" t="s">
        <v>37</v>
      </c>
      <c r="H165">
        <v>4</v>
      </c>
      <c r="J165" t="s">
        <v>312</v>
      </c>
      <c r="K165" t="s">
        <v>516</v>
      </c>
      <c r="M165">
        <v>84</v>
      </c>
      <c r="W165">
        <v>0.0</v>
      </c>
      <c r="X165">
        <v>0.0</v>
      </c>
      <c r="Y165">
        <v>0.0</v>
      </c>
      <c r="Z165">
        <v>0.0</v>
      </c>
      <c r="AA165">
        <v>0.0</v>
      </c>
      <c r="AB165">
        <v>0.0</v>
      </c>
      <c r="AC165">
        <v>0.0</v>
      </c>
      <c r="AD165">
        <v>0.0</v>
      </c>
    </row>
    <row r="166" spans="1:33">
      <c r="A166" t="s">
        <v>517</v>
      </c>
      <c r="B166" t="s">
        <v>518</v>
      </c>
      <c r="C166" t="s">
        <v>35</v>
      </c>
      <c r="D166" t="s">
        <v>228</v>
      </c>
      <c r="E166" t="s">
        <v>37</v>
      </c>
      <c r="F166" t="s">
        <v>113</v>
      </c>
      <c r="G166" t="s">
        <v>37</v>
      </c>
      <c r="H166">
        <v>4</v>
      </c>
      <c r="J166" t="s">
        <v>51</v>
      </c>
      <c r="K166">
        <v>1904057</v>
      </c>
      <c r="M166">
        <v>102.99</v>
      </c>
      <c r="N166" t="s">
        <v>169</v>
      </c>
    </row>
    <row r="167" spans="1:33">
      <c r="A167" t="s">
        <v>519</v>
      </c>
      <c r="B167" t="s">
        <v>520</v>
      </c>
      <c r="C167" t="s">
        <v>35</v>
      </c>
      <c r="D167" t="s">
        <v>36</v>
      </c>
      <c r="E167" t="s">
        <v>37</v>
      </c>
      <c r="F167" t="s">
        <v>37</v>
      </c>
      <c r="G167" t="s">
        <v>37</v>
      </c>
      <c r="J167" t="s">
        <v>43</v>
      </c>
      <c r="K167">
        <v>303100338</v>
      </c>
      <c r="L167" t="s">
        <v>521</v>
      </c>
      <c r="M167">
        <v>68.96</v>
      </c>
      <c r="O167" t="s">
        <v>522</v>
      </c>
      <c r="P167" t="s">
        <v>46</v>
      </c>
      <c r="Q167">
        <v>8422.9</v>
      </c>
      <c r="R167" t="s">
        <v>48</v>
      </c>
      <c r="W167">
        <v>0.0</v>
      </c>
      <c r="X167">
        <v>0.0</v>
      </c>
      <c r="Y167">
        <v>0.0</v>
      </c>
      <c r="Z167">
        <v>0.0</v>
      </c>
      <c r="AA167">
        <v>0.0</v>
      </c>
      <c r="AB167">
        <v>0.0</v>
      </c>
      <c r="AC167">
        <v>0.0</v>
      </c>
      <c r="AD167">
        <v>0.0</v>
      </c>
      <c r="AG167" t="str">
        <f>HYPERLINK("https://fwc26.smmarta.com/nomenclature/771/images-download", "Download")</f>
        <v>0</v>
      </c>
    </row>
    <row r="168" spans="1:33">
      <c r="A168" t="s">
        <v>523</v>
      </c>
      <c r="B168" t="s">
        <v>524</v>
      </c>
      <c r="C168" t="s">
        <v>35</v>
      </c>
      <c r="D168" t="s">
        <v>36</v>
      </c>
      <c r="E168" t="s">
        <v>37</v>
      </c>
      <c r="F168" t="s">
        <v>37</v>
      </c>
      <c r="G168" t="s">
        <v>37</v>
      </c>
      <c r="H168">
        <v>1</v>
      </c>
      <c r="J168" t="s">
        <v>312</v>
      </c>
      <c r="K168" t="s">
        <v>525</v>
      </c>
      <c r="M168">
        <v>14</v>
      </c>
      <c r="N168" t="s">
        <v>169</v>
      </c>
      <c r="W168">
        <v>0.0</v>
      </c>
      <c r="X168">
        <v>0.0</v>
      </c>
      <c r="Y168">
        <v>0.0</v>
      </c>
      <c r="Z168">
        <v>0.0</v>
      </c>
      <c r="AA168">
        <v>0.0</v>
      </c>
      <c r="AB168">
        <v>0.0</v>
      </c>
      <c r="AC168">
        <v>0.0</v>
      </c>
      <c r="AD168">
        <v>0.0</v>
      </c>
    </row>
    <row r="169" spans="1:33">
      <c r="A169" t="s">
        <v>526</v>
      </c>
      <c r="B169" t="s">
        <v>527</v>
      </c>
      <c r="C169" t="s">
        <v>35</v>
      </c>
      <c r="D169" t="s">
        <v>36</v>
      </c>
      <c r="E169" t="s">
        <v>37</v>
      </c>
      <c r="F169" t="s">
        <v>37</v>
      </c>
      <c r="G169" t="s">
        <v>37</v>
      </c>
      <c r="J169" t="s">
        <v>62</v>
      </c>
      <c r="M169">
        <v>20</v>
      </c>
      <c r="R169" t="s">
        <v>528</v>
      </c>
      <c r="W169">
        <v>0.0</v>
      </c>
      <c r="X169">
        <v>0.0</v>
      </c>
      <c r="Y169">
        <v>0.0</v>
      </c>
      <c r="Z169">
        <v>0.0</v>
      </c>
      <c r="AA169">
        <v>0.0</v>
      </c>
      <c r="AB169">
        <v>0.0</v>
      </c>
      <c r="AC169">
        <v>0.0</v>
      </c>
      <c r="AD169">
        <v>0.0</v>
      </c>
    </row>
    <row r="170" spans="1:33">
      <c r="A170" t="s">
        <v>529</v>
      </c>
      <c r="B170" t="s">
        <v>530</v>
      </c>
      <c r="C170" t="s">
        <v>35</v>
      </c>
      <c r="D170" t="s">
        <v>36</v>
      </c>
      <c r="E170" t="s">
        <v>37</v>
      </c>
      <c r="F170" t="s">
        <v>37</v>
      </c>
      <c r="G170" t="s">
        <v>37</v>
      </c>
      <c r="J170" t="s">
        <v>43</v>
      </c>
      <c r="K170">
        <v>206714568</v>
      </c>
      <c r="L170" t="s">
        <v>531</v>
      </c>
      <c r="M170">
        <v>10.18</v>
      </c>
      <c r="O170" t="s">
        <v>532</v>
      </c>
      <c r="P170" t="s">
        <v>46</v>
      </c>
      <c r="Q170">
        <v>3919.9</v>
      </c>
      <c r="R170" t="s">
        <v>48</v>
      </c>
      <c r="S170">
        <v>250</v>
      </c>
      <c r="T170">
        <v>1</v>
      </c>
      <c r="U170">
        <v>250</v>
      </c>
      <c r="V170">
        <v>1</v>
      </c>
      <c r="W170">
        <v>0.0</v>
      </c>
      <c r="X170">
        <v>0.0</v>
      </c>
      <c r="Y170">
        <v>0.0</v>
      </c>
      <c r="Z170">
        <v>0.0</v>
      </c>
      <c r="AA170">
        <v>0.0</v>
      </c>
      <c r="AB170">
        <v>0.0</v>
      </c>
      <c r="AC170">
        <v>0.0</v>
      </c>
      <c r="AD170">
        <v>0.0</v>
      </c>
      <c r="AG170" t="str">
        <f>HYPERLINK("https://fwc26.smmarta.com/nomenclature/1053/images-download", "Download")</f>
        <v>0</v>
      </c>
    </row>
    <row r="171" spans="1:33">
      <c r="A171" t="s">
        <v>533</v>
      </c>
      <c r="B171" t="s">
        <v>534</v>
      </c>
      <c r="C171" t="s">
        <v>35</v>
      </c>
      <c r="D171" t="s">
        <v>168</v>
      </c>
      <c r="E171" t="s">
        <v>37</v>
      </c>
      <c r="F171" t="s">
        <v>113</v>
      </c>
      <c r="G171" t="s">
        <v>37</v>
      </c>
      <c r="J171" t="s">
        <v>62</v>
      </c>
      <c r="M171">
        <v>164</v>
      </c>
      <c r="N171" t="s">
        <v>169</v>
      </c>
      <c r="R171" t="s">
        <v>170</v>
      </c>
      <c r="W171">
        <v>0.0</v>
      </c>
      <c r="X171">
        <v>0.0</v>
      </c>
      <c r="Y171">
        <v>0.0</v>
      </c>
      <c r="Z171">
        <v>0.0</v>
      </c>
      <c r="AA171">
        <v>0.0</v>
      </c>
      <c r="AB171">
        <v>0.0</v>
      </c>
      <c r="AC171">
        <v>0.0</v>
      </c>
      <c r="AD171">
        <v>0.0</v>
      </c>
    </row>
    <row r="172" spans="1:33">
      <c r="A172" t="s">
        <v>535</v>
      </c>
      <c r="B172" t="s">
        <v>536</v>
      </c>
      <c r="C172" t="s">
        <v>35</v>
      </c>
      <c r="D172" t="s">
        <v>168</v>
      </c>
      <c r="E172" t="s">
        <v>37</v>
      </c>
      <c r="F172" t="s">
        <v>113</v>
      </c>
      <c r="G172" t="s">
        <v>37</v>
      </c>
      <c r="J172" t="s">
        <v>363</v>
      </c>
      <c r="M172">
        <v>185</v>
      </c>
      <c r="N172" t="s">
        <v>169</v>
      </c>
      <c r="S172">
        <v>12</v>
      </c>
      <c r="T172">
        <v>1</v>
      </c>
      <c r="U172">
        <v>12</v>
      </c>
      <c r="V172">
        <v>1</v>
      </c>
      <c r="W172">
        <v>0.0</v>
      </c>
      <c r="X172">
        <v>0.0</v>
      </c>
      <c r="Y172">
        <v>0.0</v>
      </c>
      <c r="Z172">
        <v>0.0</v>
      </c>
      <c r="AA172">
        <v>0.0</v>
      </c>
      <c r="AB172">
        <v>0.0</v>
      </c>
      <c r="AC172">
        <v>0.0</v>
      </c>
      <c r="AD172">
        <v>0.0</v>
      </c>
    </row>
    <row r="173" spans="1:33">
      <c r="A173" t="s">
        <v>537</v>
      </c>
      <c r="B173" t="s">
        <v>538</v>
      </c>
      <c r="C173" t="s">
        <v>35</v>
      </c>
      <c r="D173" t="s">
        <v>168</v>
      </c>
      <c r="E173" t="s">
        <v>37</v>
      </c>
      <c r="F173" t="s">
        <v>113</v>
      </c>
      <c r="G173" t="s">
        <v>37</v>
      </c>
      <c r="J173" t="s">
        <v>312</v>
      </c>
      <c r="K173" t="s">
        <v>539</v>
      </c>
      <c r="M173">
        <v>117</v>
      </c>
      <c r="Q173" t="s">
        <v>540</v>
      </c>
      <c r="R173" t="s">
        <v>144</v>
      </c>
      <c r="W173">
        <v>0.0</v>
      </c>
      <c r="X173">
        <v>0.0</v>
      </c>
      <c r="Y173">
        <v>0.0</v>
      </c>
      <c r="Z173">
        <v>0.0</v>
      </c>
      <c r="AA173">
        <v>0.0</v>
      </c>
      <c r="AB173">
        <v>0.0</v>
      </c>
      <c r="AC173">
        <v>0.0</v>
      </c>
      <c r="AD173">
        <v>0.0</v>
      </c>
    </row>
    <row r="174" spans="1:33">
      <c r="A174" t="s">
        <v>541</v>
      </c>
      <c r="B174" t="s">
        <v>542</v>
      </c>
      <c r="C174" t="s">
        <v>35</v>
      </c>
      <c r="D174" t="s">
        <v>228</v>
      </c>
      <c r="E174" t="s">
        <v>37</v>
      </c>
      <c r="F174" t="s">
        <v>113</v>
      </c>
      <c r="G174" t="s">
        <v>37</v>
      </c>
      <c r="J174" t="s">
        <v>62</v>
      </c>
      <c r="M174">
        <v>24</v>
      </c>
      <c r="N174" t="s">
        <v>169</v>
      </c>
      <c r="R174" t="s">
        <v>170</v>
      </c>
      <c r="W174">
        <v>0.0</v>
      </c>
      <c r="X174">
        <v>0.0</v>
      </c>
      <c r="Y174">
        <v>0.0</v>
      </c>
      <c r="Z174">
        <v>0.0</v>
      </c>
      <c r="AA174">
        <v>0.0</v>
      </c>
      <c r="AB174">
        <v>0.0</v>
      </c>
      <c r="AC174">
        <v>0.0</v>
      </c>
      <c r="AD174">
        <v>0.0</v>
      </c>
    </row>
    <row r="175" spans="1:33">
      <c r="A175" t="s">
        <v>543</v>
      </c>
      <c r="B175" t="s">
        <v>544</v>
      </c>
      <c r="C175" t="s">
        <v>35</v>
      </c>
      <c r="D175" t="s">
        <v>228</v>
      </c>
      <c r="E175" t="s">
        <v>37</v>
      </c>
      <c r="F175" t="s">
        <v>113</v>
      </c>
      <c r="G175" t="s">
        <v>37</v>
      </c>
      <c r="J175" t="s">
        <v>363</v>
      </c>
      <c r="M175">
        <v>62</v>
      </c>
      <c r="N175" t="s">
        <v>169</v>
      </c>
      <c r="S175">
        <v>10000</v>
      </c>
      <c r="T175">
        <v>1</v>
      </c>
      <c r="U175">
        <v>10000</v>
      </c>
      <c r="V175">
        <v>1</v>
      </c>
      <c r="W175">
        <v>0.0</v>
      </c>
      <c r="X175">
        <v>0.0</v>
      </c>
      <c r="Y175">
        <v>0.0</v>
      </c>
      <c r="Z175">
        <v>0.0</v>
      </c>
      <c r="AA175">
        <v>0.0</v>
      </c>
      <c r="AB175">
        <v>0.0</v>
      </c>
      <c r="AC175">
        <v>0.0</v>
      </c>
      <c r="AD175">
        <v>0.0</v>
      </c>
    </row>
    <row r="176" spans="1:33">
      <c r="A176" t="s">
        <v>545</v>
      </c>
      <c r="B176" t="s">
        <v>546</v>
      </c>
      <c r="C176" t="s">
        <v>35</v>
      </c>
      <c r="D176" t="s">
        <v>228</v>
      </c>
      <c r="E176" t="s">
        <v>37</v>
      </c>
      <c r="F176" t="s">
        <v>113</v>
      </c>
      <c r="G176" t="s">
        <v>37</v>
      </c>
      <c r="H176">
        <v>1</v>
      </c>
      <c r="J176" t="s">
        <v>312</v>
      </c>
      <c r="K176" t="s">
        <v>547</v>
      </c>
      <c r="M176">
        <v>85</v>
      </c>
      <c r="Q176" t="s">
        <v>548</v>
      </c>
      <c r="R176" t="s">
        <v>144</v>
      </c>
      <c r="W176">
        <v>0.0</v>
      </c>
      <c r="X176">
        <v>0.0</v>
      </c>
      <c r="Y176">
        <v>0.0</v>
      </c>
      <c r="Z176">
        <v>0.0</v>
      </c>
      <c r="AA176">
        <v>0.0</v>
      </c>
      <c r="AB176">
        <v>0.0</v>
      </c>
      <c r="AC176">
        <v>0.0</v>
      </c>
      <c r="AD176">
        <v>0.0</v>
      </c>
    </row>
    <row r="177" spans="1:33">
      <c r="A177" t="s">
        <v>549</v>
      </c>
      <c r="B177" t="s">
        <v>550</v>
      </c>
      <c r="C177" t="s">
        <v>35</v>
      </c>
      <c r="D177" t="s">
        <v>36</v>
      </c>
      <c r="E177" t="s">
        <v>37</v>
      </c>
      <c r="F177" t="s">
        <v>37</v>
      </c>
      <c r="G177" t="s">
        <v>37</v>
      </c>
      <c r="J177" t="s">
        <v>62</v>
      </c>
      <c r="M177">
        <v>59</v>
      </c>
      <c r="R177" t="s">
        <v>180</v>
      </c>
      <c r="W177">
        <v>0.0</v>
      </c>
      <c r="X177">
        <v>0.0</v>
      </c>
      <c r="Y177">
        <v>0.0</v>
      </c>
      <c r="Z177">
        <v>0.0</v>
      </c>
      <c r="AA177">
        <v>0.0</v>
      </c>
      <c r="AB177">
        <v>0.0</v>
      </c>
      <c r="AC177">
        <v>0.0</v>
      </c>
      <c r="AD177">
        <v>0.0</v>
      </c>
    </row>
    <row r="178" spans="1:33">
      <c r="A178" t="s">
        <v>551</v>
      </c>
      <c r="B178" t="s">
        <v>552</v>
      </c>
      <c r="C178" t="s">
        <v>35</v>
      </c>
      <c r="D178" t="s">
        <v>36</v>
      </c>
      <c r="E178" t="s">
        <v>37</v>
      </c>
      <c r="F178" t="s">
        <v>37</v>
      </c>
      <c r="G178" t="s">
        <v>37</v>
      </c>
      <c r="J178" t="s">
        <v>363</v>
      </c>
      <c r="M178">
        <v>462</v>
      </c>
      <c r="S178">
        <v>200</v>
      </c>
      <c r="T178">
        <v>1</v>
      </c>
      <c r="U178">
        <v>200</v>
      </c>
      <c r="V178">
        <v>1</v>
      </c>
      <c r="W178">
        <v>0.0</v>
      </c>
      <c r="X178">
        <v>0.0</v>
      </c>
      <c r="Y178">
        <v>0.0</v>
      </c>
      <c r="Z178">
        <v>0.0</v>
      </c>
      <c r="AA178">
        <v>0.0</v>
      </c>
      <c r="AB178">
        <v>0.0</v>
      </c>
      <c r="AC178">
        <v>0.0</v>
      </c>
      <c r="AD178">
        <v>0.0</v>
      </c>
    </row>
    <row r="179" spans="1:33">
      <c r="A179" t="s">
        <v>553</v>
      </c>
      <c r="B179" t="s">
        <v>554</v>
      </c>
      <c r="C179" t="s">
        <v>35</v>
      </c>
      <c r="D179" t="s">
        <v>36</v>
      </c>
      <c r="E179" t="s">
        <v>37</v>
      </c>
      <c r="F179" t="s">
        <v>37</v>
      </c>
      <c r="G179" t="s">
        <v>37</v>
      </c>
      <c r="J179" t="s">
        <v>312</v>
      </c>
      <c r="K179" t="s">
        <v>555</v>
      </c>
      <c r="M179">
        <v>80</v>
      </c>
    </row>
    <row r="180" spans="1:33">
      <c r="A180" t="s">
        <v>556</v>
      </c>
      <c r="B180" t="s">
        <v>557</v>
      </c>
      <c r="C180" t="s">
        <v>35</v>
      </c>
      <c r="D180" t="s">
        <v>36</v>
      </c>
      <c r="E180" t="s">
        <v>37</v>
      </c>
      <c r="F180" t="s">
        <v>37</v>
      </c>
      <c r="G180" t="s">
        <v>37</v>
      </c>
      <c r="J180" t="s">
        <v>62</v>
      </c>
      <c r="M180">
        <v>200</v>
      </c>
      <c r="R180" t="s">
        <v>180</v>
      </c>
      <c r="W180">
        <v>0.0</v>
      </c>
      <c r="X180">
        <v>0.0</v>
      </c>
      <c r="Y180">
        <v>0.0</v>
      </c>
      <c r="Z180">
        <v>0.0</v>
      </c>
      <c r="AA180">
        <v>0.0</v>
      </c>
      <c r="AB180">
        <v>0.0</v>
      </c>
      <c r="AC180">
        <v>0.0</v>
      </c>
      <c r="AD180">
        <v>0.0</v>
      </c>
    </row>
    <row r="181" spans="1:33">
      <c r="A181" t="s">
        <v>558</v>
      </c>
      <c r="B181" t="s">
        <v>559</v>
      </c>
      <c r="C181" t="s">
        <v>35</v>
      </c>
      <c r="D181" t="s">
        <v>36</v>
      </c>
      <c r="E181" t="s">
        <v>37</v>
      </c>
      <c r="F181" t="s">
        <v>37</v>
      </c>
      <c r="G181" t="s">
        <v>37</v>
      </c>
      <c r="J181" t="s">
        <v>363</v>
      </c>
      <c r="M181">
        <v>120</v>
      </c>
      <c r="S181">
        <v>200</v>
      </c>
      <c r="T181">
        <v>1</v>
      </c>
      <c r="U181">
        <v>200</v>
      </c>
      <c r="V181">
        <v>1</v>
      </c>
      <c r="W181">
        <v>0.0</v>
      </c>
      <c r="X181">
        <v>0.0</v>
      </c>
      <c r="Y181">
        <v>0.0</v>
      </c>
      <c r="Z181">
        <v>0.0</v>
      </c>
      <c r="AA181">
        <v>0.0</v>
      </c>
      <c r="AB181">
        <v>0.0</v>
      </c>
      <c r="AC181">
        <v>0.0</v>
      </c>
      <c r="AD181">
        <v>0.0</v>
      </c>
    </row>
    <row r="182" spans="1:33">
      <c r="A182" t="s">
        <v>560</v>
      </c>
      <c r="B182" t="s">
        <v>561</v>
      </c>
      <c r="C182" t="s">
        <v>35</v>
      </c>
      <c r="D182" t="s">
        <v>36</v>
      </c>
      <c r="E182" t="s">
        <v>37</v>
      </c>
      <c r="F182" t="s">
        <v>37</v>
      </c>
      <c r="G182" t="s">
        <v>37</v>
      </c>
      <c r="J182" t="s">
        <v>312</v>
      </c>
      <c r="K182" t="s">
        <v>562</v>
      </c>
      <c r="M182">
        <v>74</v>
      </c>
    </row>
    <row r="183" spans="1:33">
      <c r="A183" t="s">
        <v>563</v>
      </c>
      <c r="B183" t="s">
        <v>564</v>
      </c>
      <c r="C183" t="s">
        <v>35</v>
      </c>
      <c r="D183" t="s">
        <v>36</v>
      </c>
      <c r="E183" t="s">
        <v>37</v>
      </c>
      <c r="F183" t="s">
        <v>37</v>
      </c>
      <c r="G183" t="s">
        <v>37</v>
      </c>
      <c r="J183" t="s">
        <v>62</v>
      </c>
      <c r="M183">
        <v>69</v>
      </c>
      <c r="R183" t="s">
        <v>180</v>
      </c>
      <c r="W183">
        <v>0.0</v>
      </c>
      <c r="X183">
        <v>0.0</v>
      </c>
      <c r="Y183">
        <v>0.0</v>
      </c>
      <c r="Z183">
        <v>0.0</v>
      </c>
      <c r="AA183">
        <v>0.0</v>
      </c>
      <c r="AB183">
        <v>0.0</v>
      </c>
      <c r="AC183">
        <v>0.0</v>
      </c>
      <c r="AD183">
        <v>0.0</v>
      </c>
    </row>
    <row r="184" spans="1:33">
      <c r="A184" t="s">
        <v>565</v>
      </c>
      <c r="B184" t="s">
        <v>566</v>
      </c>
      <c r="C184" t="s">
        <v>35</v>
      </c>
      <c r="D184" t="s">
        <v>36</v>
      </c>
      <c r="E184" t="s">
        <v>37</v>
      </c>
      <c r="F184" t="s">
        <v>37</v>
      </c>
      <c r="G184" t="s">
        <v>37</v>
      </c>
      <c r="J184" t="s">
        <v>363</v>
      </c>
      <c r="M184">
        <v>79</v>
      </c>
      <c r="S184">
        <v>200</v>
      </c>
      <c r="T184">
        <v>1</v>
      </c>
      <c r="U184">
        <v>200</v>
      </c>
      <c r="V184">
        <v>1</v>
      </c>
      <c r="W184">
        <v>0.0</v>
      </c>
      <c r="X184">
        <v>0.0</v>
      </c>
      <c r="Y184">
        <v>0.0</v>
      </c>
      <c r="Z184">
        <v>0.0</v>
      </c>
      <c r="AA184">
        <v>0.0</v>
      </c>
      <c r="AB184">
        <v>0.0</v>
      </c>
      <c r="AC184">
        <v>0.0</v>
      </c>
      <c r="AD184">
        <v>0.0</v>
      </c>
    </row>
    <row r="185" spans="1:33">
      <c r="A185" t="s">
        <v>567</v>
      </c>
      <c r="B185" t="s">
        <v>568</v>
      </c>
      <c r="C185" t="s">
        <v>35</v>
      </c>
      <c r="D185" t="s">
        <v>36</v>
      </c>
      <c r="E185" t="s">
        <v>37</v>
      </c>
      <c r="F185" t="s">
        <v>37</v>
      </c>
      <c r="G185" t="s">
        <v>37</v>
      </c>
      <c r="J185" t="s">
        <v>312</v>
      </c>
      <c r="K185" t="s">
        <v>569</v>
      </c>
      <c r="M185">
        <v>49</v>
      </c>
    </row>
    <row r="186" spans="1:33">
      <c r="A186" t="s">
        <v>570</v>
      </c>
      <c r="B186" t="s">
        <v>571</v>
      </c>
      <c r="C186" t="s">
        <v>35</v>
      </c>
      <c r="D186" t="s">
        <v>36</v>
      </c>
      <c r="E186" t="s">
        <v>37</v>
      </c>
      <c r="F186" t="s">
        <v>37</v>
      </c>
      <c r="G186" t="s">
        <v>113</v>
      </c>
      <c r="H186">
        <v>1</v>
      </c>
      <c r="J186" t="s">
        <v>62</v>
      </c>
      <c r="M186">
        <v>553</v>
      </c>
      <c r="P186" t="s">
        <v>63</v>
      </c>
      <c r="R186" t="s">
        <v>170</v>
      </c>
      <c r="S186">
        <v>10</v>
      </c>
      <c r="T186">
        <v>1</v>
      </c>
      <c r="U186">
        <v>10</v>
      </c>
      <c r="V186">
        <v>1</v>
      </c>
      <c r="W186">
        <v>0.0</v>
      </c>
      <c r="X186">
        <v>0.0</v>
      </c>
      <c r="Y186">
        <v>0.0</v>
      </c>
      <c r="Z186">
        <v>0.0</v>
      </c>
      <c r="AA186">
        <v>0.0</v>
      </c>
      <c r="AB186">
        <v>0.0</v>
      </c>
      <c r="AC186">
        <v>0.0</v>
      </c>
      <c r="AD186">
        <v>0.0</v>
      </c>
      <c r="AG186" t="str">
        <f>HYPERLINK("https://fwc26.smmarta.com/nomenclature/622/images-download", "Download")</f>
        <v>0</v>
      </c>
    </row>
    <row r="187" spans="1:33">
      <c r="A187" t="s">
        <v>572</v>
      </c>
      <c r="B187" t="s">
        <v>573</v>
      </c>
      <c r="C187" t="s">
        <v>35</v>
      </c>
      <c r="D187" t="s">
        <v>36</v>
      </c>
      <c r="E187" t="s">
        <v>37</v>
      </c>
      <c r="F187" t="s">
        <v>37</v>
      </c>
      <c r="G187" t="s">
        <v>37</v>
      </c>
      <c r="J187" t="s">
        <v>363</v>
      </c>
      <c r="M187">
        <v>690</v>
      </c>
      <c r="S187">
        <v>14</v>
      </c>
      <c r="T187">
        <v>1</v>
      </c>
      <c r="U187">
        <v>14</v>
      </c>
      <c r="V187">
        <v>1</v>
      </c>
      <c r="W187">
        <v>0.0</v>
      </c>
      <c r="X187">
        <v>0.0</v>
      </c>
      <c r="Y187">
        <v>0.0</v>
      </c>
      <c r="Z187">
        <v>0.0</v>
      </c>
      <c r="AA187">
        <v>0.0</v>
      </c>
      <c r="AB187">
        <v>0.0</v>
      </c>
      <c r="AC187">
        <v>0.0</v>
      </c>
      <c r="AD187">
        <v>0.0</v>
      </c>
    </row>
    <row r="188" spans="1:33">
      <c r="A188" t="s">
        <v>574</v>
      </c>
      <c r="B188" t="s">
        <v>575</v>
      </c>
      <c r="C188" t="s">
        <v>35</v>
      </c>
      <c r="D188" t="s">
        <v>36</v>
      </c>
      <c r="E188" t="s">
        <v>37</v>
      </c>
      <c r="F188" t="s">
        <v>37</v>
      </c>
      <c r="G188" t="s">
        <v>37</v>
      </c>
      <c r="J188" t="s">
        <v>312</v>
      </c>
      <c r="K188" t="s">
        <v>576</v>
      </c>
      <c r="M188">
        <v>395</v>
      </c>
      <c r="W188">
        <v>0.0</v>
      </c>
      <c r="X188">
        <v>0.0</v>
      </c>
      <c r="Y188">
        <v>0.0</v>
      </c>
      <c r="Z188">
        <v>0.0</v>
      </c>
      <c r="AA188">
        <v>0.0</v>
      </c>
      <c r="AB188">
        <v>0.0</v>
      </c>
      <c r="AC188">
        <v>0.0</v>
      </c>
      <c r="AD188">
        <v>0.0</v>
      </c>
    </row>
    <row r="189" spans="1:33">
      <c r="A189" t="s">
        <v>577</v>
      </c>
      <c r="B189" t="s">
        <v>578</v>
      </c>
      <c r="C189" t="s">
        <v>35</v>
      </c>
      <c r="D189" t="s">
        <v>36</v>
      </c>
      <c r="E189" t="s">
        <v>37</v>
      </c>
      <c r="F189" t="s">
        <v>113</v>
      </c>
      <c r="G189" t="s">
        <v>37</v>
      </c>
      <c r="H189">
        <v>1</v>
      </c>
      <c r="J189" t="s">
        <v>363</v>
      </c>
      <c r="M189">
        <v>15.4</v>
      </c>
      <c r="N189" t="s">
        <v>169</v>
      </c>
      <c r="S189">
        <v>10</v>
      </c>
      <c r="T189">
        <v>1</v>
      </c>
      <c r="U189">
        <v>10</v>
      </c>
      <c r="V189">
        <v>1</v>
      </c>
      <c r="W189">
        <v>0.0</v>
      </c>
      <c r="X189">
        <v>0.0</v>
      </c>
      <c r="Y189">
        <v>0.0</v>
      </c>
      <c r="Z189">
        <v>0.0</v>
      </c>
      <c r="AA189">
        <v>0.0</v>
      </c>
      <c r="AB189">
        <v>0.0</v>
      </c>
      <c r="AC189">
        <v>0.0</v>
      </c>
      <c r="AD189">
        <v>0.0</v>
      </c>
    </row>
    <row r="190" spans="1:33">
      <c r="A190" t="s">
        <v>579</v>
      </c>
      <c r="B190" t="s">
        <v>580</v>
      </c>
      <c r="C190" t="s">
        <v>35</v>
      </c>
      <c r="D190" t="s">
        <v>36</v>
      </c>
      <c r="E190" t="s">
        <v>37</v>
      </c>
      <c r="F190" t="s">
        <v>37</v>
      </c>
      <c r="G190" t="s">
        <v>37</v>
      </c>
      <c r="J190" t="s">
        <v>62</v>
      </c>
      <c r="M190">
        <v>28</v>
      </c>
      <c r="P190" t="s">
        <v>62</v>
      </c>
      <c r="Q190" t="s">
        <v>581</v>
      </c>
      <c r="R190" t="s">
        <v>471</v>
      </c>
      <c r="W190">
        <v>0.0</v>
      </c>
      <c r="X190">
        <v>0.0</v>
      </c>
      <c r="Y190">
        <v>0.0</v>
      </c>
      <c r="Z190">
        <v>0.0</v>
      </c>
      <c r="AA190">
        <v>0.0</v>
      </c>
      <c r="AB190">
        <v>0.0</v>
      </c>
      <c r="AC190">
        <v>0.0</v>
      </c>
      <c r="AD190">
        <v>0.0</v>
      </c>
    </row>
    <row r="191" spans="1:33">
      <c r="A191" t="s">
        <v>582</v>
      </c>
      <c r="B191" t="s">
        <v>583</v>
      </c>
      <c r="C191" t="s">
        <v>35</v>
      </c>
      <c r="D191" t="s">
        <v>36</v>
      </c>
      <c r="E191" t="s">
        <v>37</v>
      </c>
      <c r="F191" t="s">
        <v>37</v>
      </c>
      <c r="G191" t="s">
        <v>37</v>
      </c>
      <c r="J191" t="s">
        <v>43</v>
      </c>
      <c r="K191">
        <v>206802138</v>
      </c>
      <c r="L191" t="s">
        <v>584</v>
      </c>
      <c r="M191">
        <v>10.98</v>
      </c>
      <c r="O191" t="s">
        <v>585</v>
      </c>
      <c r="P191" t="s">
        <v>46</v>
      </c>
      <c r="Q191">
        <v>6307.9</v>
      </c>
      <c r="R191" t="s">
        <v>48</v>
      </c>
      <c r="S191">
        <v>300</v>
      </c>
      <c r="T191">
        <v>1</v>
      </c>
      <c r="U191">
        <v>300</v>
      </c>
      <c r="V191">
        <v>1</v>
      </c>
      <c r="W191">
        <v>0.0</v>
      </c>
      <c r="X191">
        <v>0.0</v>
      </c>
      <c r="Y191">
        <v>0.0</v>
      </c>
      <c r="Z191">
        <v>0.0</v>
      </c>
      <c r="AA191">
        <v>0.0</v>
      </c>
      <c r="AB191">
        <v>0.0</v>
      </c>
      <c r="AC191">
        <v>0.0</v>
      </c>
      <c r="AD191">
        <v>0.0</v>
      </c>
      <c r="AG191" t="str">
        <f>HYPERLINK("https://fwc26.smmarta.com/nomenclature/1062/images-download", "Download")</f>
        <v>0</v>
      </c>
    </row>
    <row r="192" spans="1:33">
      <c r="A192" t="s">
        <v>586</v>
      </c>
      <c r="B192" t="s">
        <v>587</v>
      </c>
      <c r="C192" t="s">
        <v>35</v>
      </c>
      <c r="D192" t="s">
        <v>168</v>
      </c>
      <c r="E192" t="s">
        <v>37</v>
      </c>
      <c r="F192" t="s">
        <v>113</v>
      </c>
      <c r="G192" t="s">
        <v>37</v>
      </c>
      <c r="H192">
        <v>1</v>
      </c>
      <c r="J192" t="s">
        <v>62</v>
      </c>
      <c r="M192">
        <v>74</v>
      </c>
      <c r="N192" t="s">
        <v>169</v>
      </c>
      <c r="P192" t="s">
        <v>63</v>
      </c>
      <c r="R192" t="s">
        <v>48</v>
      </c>
      <c r="S192">
        <v>3</v>
      </c>
      <c r="T192">
        <v>1</v>
      </c>
      <c r="U192">
        <v>3</v>
      </c>
      <c r="V192">
        <v>1</v>
      </c>
      <c r="W192">
        <v>0.0</v>
      </c>
      <c r="X192">
        <v>0.0</v>
      </c>
      <c r="Y192">
        <v>0.0</v>
      </c>
      <c r="Z192">
        <v>0.0</v>
      </c>
      <c r="AA192">
        <v>0.0</v>
      </c>
      <c r="AB192">
        <v>0.0</v>
      </c>
      <c r="AC192">
        <v>0.0</v>
      </c>
      <c r="AD192">
        <v>0.0</v>
      </c>
      <c r="AG192" t="str">
        <f>HYPERLINK("https://fwc26.smmarta.com/nomenclature/729/images-download", "Download")</f>
        <v>0</v>
      </c>
    </row>
    <row r="193" spans="1:33">
      <c r="A193" t="s">
        <v>588</v>
      </c>
      <c r="B193" t="s">
        <v>589</v>
      </c>
      <c r="C193" t="s">
        <v>35</v>
      </c>
      <c r="D193" t="s">
        <v>168</v>
      </c>
      <c r="E193" t="s">
        <v>37</v>
      </c>
      <c r="F193" t="s">
        <v>113</v>
      </c>
      <c r="G193" t="s">
        <v>37</v>
      </c>
      <c r="J193" t="s">
        <v>43</v>
      </c>
      <c r="K193">
        <v>323935567</v>
      </c>
      <c r="L193" t="s">
        <v>590</v>
      </c>
      <c r="M193">
        <v>32.98</v>
      </c>
      <c r="N193" t="s">
        <v>169</v>
      </c>
      <c r="O193" t="s">
        <v>591</v>
      </c>
      <c r="P193" t="s">
        <v>46</v>
      </c>
      <c r="Q193">
        <v>3921.9</v>
      </c>
      <c r="R193" t="s">
        <v>144</v>
      </c>
      <c r="S193">
        <v>12</v>
      </c>
      <c r="T193">
        <v>1</v>
      </c>
      <c r="U193">
        <v>12</v>
      </c>
      <c r="V193">
        <v>1</v>
      </c>
      <c r="W193">
        <v>0.0</v>
      </c>
      <c r="X193">
        <v>0.0</v>
      </c>
      <c r="Y193">
        <v>0.0</v>
      </c>
      <c r="Z193">
        <v>0.0</v>
      </c>
      <c r="AA193">
        <v>0.0</v>
      </c>
      <c r="AB193">
        <v>0.0</v>
      </c>
      <c r="AC193">
        <v>0.0</v>
      </c>
      <c r="AD193">
        <v>0.0</v>
      </c>
      <c r="AG193" t="str">
        <f>HYPERLINK("https://fwc26.smmarta.com/nomenclature/1063/images-download", "Download")</f>
        <v>0</v>
      </c>
    </row>
    <row r="194" spans="1:33">
      <c r="A194" t="s">
        <v>592</v>
      </c>
      <c r="B194" t="s">
        <v>593</v>
      </c>
      <c r="C194" t="s">
        <v>35</v>
      </c>
      <c r="D194" t="s">
        <v>36</v>
      </c>
      <c r="E194" t="s">
        <v>37</v>
      </c>
      <c r="F194" t="s">
        <v>113</v>
      </c>
      <c r="G194" t="s">
        <v>37</v>
      </c>
      <c r="J194" t="s">
        <v>62</v>
      </c>
      <c r="M194">
        <v>4</v>
      </c>
      <c r="N194" t="s">
        <v>169</v>
      </c>
      <c r="R194" t="s">
        <v>170</v>
      </c>
      <c r="W194">
        <v>0.0</v>
      </c>
      <c r="X194">
        <v>0.0</v>
      </c>
      <c r="Y194">
        <v>0.0</v>
      </c>
      <c r="Z194">
        <v>0.0</v>
      </c>
      <c r="AA194">
        <v>0.0</v>
      </c>
      <c r="AB194">
        <v>0.0</v>
      </c>
      <c r="AC194">
        <v>0.0</v>
      </c>
      <c r="AD194">
        <v>0.0</v>
      </c>
    </row>
    <row r="195" spans="1:33">
      <c r="A195" t="s">
        <v>594</v>
      </c>
      <c r="B195" t="s">
        <v>595</v>
      </c>
      <c r="C195" t="s">
        <v>35</v>
      </c>
      <c r="D195" t="s">
        <v>36</v>
      </c>
      <c r="E195" t="s">
        <v>37</v>
      </c>
      <c r="F195" t="s">
        <v>113</v>
      </c>
      <c r="G195" t="s">
        <v>37</v>
      </c>
      <c r="J195" t="s">
        <v>43</v>
      </c>
      <c r="K195">
        <v>316235446</v>
      </c>
      <c r="L195" t="s">
        <v>596</v>
      </c>
      <c r="M195">
        <v>3.02</v>
      </c>
      <c r="N195" t="s">
        <v>169</v>
      </c>
      <c r="O195" t="s">
        <v>597</v>
      </c>
      <c r="P195" t="s">
        <v>46</v>
      </c>
      <c r="Q195">
        <v>4819.1</v>
      </c>
      <c r="R195" t="s">
        <v>144</v>
      </c>
      <c r="S195">
        <v>100</v>
      </c>
      <c r="T195">
        <v>1</v>
      </c>
      <c r="U195">
        <v>100</v>
      </c>
      <c r="V195">
        <v>1</v>
      </c>
      <c r="W195">
        <v>0.0</v>
      </c>
      <c r="X195">
        <v>0.0</v>
      </c>
      <c r="Y195">
        <v>0.0</v>
      </c>
      <c r="Z195">
        <v>0.0</v>
      </c>
      <c r="AA195">
        <v>0.0</v>
      </c>
      <c r="AB195">
        <v>0.0</v>
      </c>
      <c r="AC195">
        <v>0.0</v>
      </c>
      <c r="AD195">
        <v>0.0</v>
      </c>
      <c r="AG195" t="str">
        <f>HYPERLINK("https://fwc26.smmarta.com/nomenclature/1064/images-download", "Download")</f>
        <v>0</v>
      </c>
    </row>
    <row r="196" spans="1:33">
      <c r="A196" t="s">
        <v>598</v>
      </c>
      <c r="B196" t="s">
        <v>599</v>
      </c>
      <c r="C196" t="s">
        <v>35</v>
      </c>
      <c r="D196" t="s">
        <v>36</v>
      </c>
      <c r="E196" t="s">
        <v>37</v>
      </c>
      <c r="F196" t="s">
        <v>113</v>
      </c>
      <c r="G196" t="s">
        <v>37</v>
      </c>
      <c r="H196">
        <v>25</v>
      </c>
      <c r="J196" t="s">
        <v>312</v>
      </c>
      <c r="K196" t="s">
        <v>600</v>
      </c>
      <c r="M196">
        <v>2.99</v>
      </c>
      <c r="W196">
        <v>0.0</v>
      </c>
      <c r="X196">
        <v>0.0</v>
      </c>
      <c r="Y196">
        <v>0.0</v>
      </c>
      <c r="Z196">
        <v>0.0</v>
      </c>
      <c r="AA196">
        <v>0.0</v>
      </c>
      <c r="AB196">
        <v>0.0</v>
      </c>
      <c r="AC196">
        <v>0.0</v>
      </c>
      <c r="AD196">
        <v>0.0</v>
      </c>
    </row>
    <row r="197" spans="1:33">
      <c r="A197" t="s">
        <v>601</v>
      </c>
      <c r="B197" t="s">
        <v>602</v>
      </c>
      <c r="C197" t="s">
        <v>35</v>
      </c>
      <c r="D197" t="s">
        <v>36</v>
      </c>
      <c r="E197" t="s">
        <v>37</v>
      </c>
      <c r="F197" t="s">
        <v>113</v>
      </c>
      <c r="G197" t="s">
        <v>37</v>
      </c>
      <c r="J197" t="s">
        <v>62</v>
      </c>
      <c r="M197">
        <v>3</v>
      </c>
      <c r="N197" t="s">
        <v>169</v>
      </c>
      <c r="R197" t="s">
        <v>48</v>
      </c>
      <c r="W197">
        <v>0.0</v>
      </c>
      <c r="X197">
        <v>0.0</v>
      </c>
      <c r="Y197">
        <v>0.0</v>
      </c>
      <c r="Z197">
        <v>0.0</v>
      </c>
      <c r="AA197">
        <v>0.0</v>
      </c>
      <c r="AB197">
        <v>0.0</v>
      </c>
      <c r="AC197">
        <v>0.0</v>
      </c>
      <c r="AD197">
        <v>0.0</v>
      </c>
    </row>
    <row r="198" spans="1:33">
      <c r="A198" t="s">
        <v>603</v>
      </c>
      <c r="B198" t="s">
        <v>604</v>
      </c>
      <c r="C198" t="s">
        <v>35</v>
      </c>
      <c r="D198" t="s">
        <v>36</v>
      </c>
      <c r="E198" t="s">
        <v>37</v>
      </c>
      <c r="F198" t="s">
        <v>113</v>
      </c>
      <c r="G198" t="s">
        <v>37</v>
      </c>
      <c r="J198" t="s">
        <v>363</v>
      </c>
      <c r="M198">
        <v>3.3</v>
      </c>
      <c r="N198" t="s">
        <v>169</v>
      </c>
      <c r="S198">
        <v>100</v>
      </c>
      <c r="T198">
        <v>1</v>
      </c>
      <c r="U198">
        <v>100</v>
      </c>
      <c r="V198">
        <v>1</v>
      </c>
      <c r="W198">
        <v>0.0</v>
      </c>
      <c r="X198">
        <v>0.0</v>
      </c>
      <c r="Y198">
        <v>0.0</v>
      </c>
      <c r="Z198">
        <v>0.0</v>
      </c>
      <c r="AA198">
        <v>0.0</v>
      </c>
      <c r="AB198">
        <v>0.0</v>
      </c>
      <c r="AC198">
        <v>0.0</v>
      </c>
      <c r="AD198">
        <v>0.0</v>
      </c>
    </row>
    <row r="199" spans="1:33">
      <c r="A199" t="s">
        <v>605</v>
      </c>
      <c r="B199" t="s">
        <v>606</v>
      </c>
      <c r="C199" t="s">
        <v>35</v>
      </c>
      <c r="D199" t="s">
        <v>36</v>
      </c>
      <c r="E199" t="s">
        <v>37</v>
      </c>
      <c r="F199" t="s">
        <v>113</v>
      </c>
      <c r="G199" t="s">
        <v>37</v>
      </c>
      <c r="H199">
        <v>25</v>
      </c>
      <c r="J199" t="s">
        <v>312</v>
      </c>
      <c r="K199" t="s">
        <v>607</v>
      </c>
      <c r="M199">
        <v>51</v>
      </c>
      <c r="W199">
        <v>0.0</v>
      </c>
      <c r="X199">
        <v>0.0</v>
      </c>
      <c r="Y199">
        <v>0.0</v>
      </c>
      <c r="Z199">
        <v>0.0</v>
      </c>
      <c r="AA199">
        <v>0.0</v>
      </c>
      <c r="AB199">
        <v>0.0</v>
      </c>
      <c r="AC199">
        <v>0.0</v>
      </c>
      <c r="AD199">
        <v>0.0</v>
      </c>
    </row>
    <row r="200" spans="1:33">
      <c r="A200" t="s">
        <v>608</v>
      </c>
      <c r="B200" t="s">
        <v>609</v>
      </c>
      <c r="C200" t="s">
        <v>35</v>
      </c>
      <c r="D200" t="s">
        <v>36</v>
      </c>
      <c r="E200" t="s">
        <v>37</v>
      </c>
      <c r="F200" t="s">
        <v>113</v>
      </c>
      <c r="G200" t="s">
        <v>37</v>
      </c>
      <c r="J200" t="s">
        <v>62</v>
      </c>
      <c r="M200">
        <v>4</v>
      </c>
      <c r="N200" t="s">
        <v>169</v>
      </c>
      <c r="R200" t="s">
        <v>170</v>
      </c>
      <c r="W200">
        <v>0.0</v>
      </c>
      <c r="X200">
        <v>0.0</v>
      </c>
      <c r="Y200">
        <v>0.0</v>
      </c>
      <c r="Z200">
        <v>0.0</v>
      </c>
      <c r="AA200">
        <v>0.0</v>
      </c>
      <c r="AB200">
        <v>0.0</v>
      </c>
      <c r="AC200">
        <v>0.0</v>
      </c>
      <c r="AD200">
        <v>0.0</v>
      </c>
    </row>
    <row r="201" spans="1:33">
      <c r="A201" t="s">
        <v>610</v>
      </c>
      <c r="B201" t="s">
        <v>611</v>
      </c>
      <c r="C201" t="s">
        <v>35</v>
      </c>
      <c r="D201" t="s">
        <v>36</v>
      </c>
      <c r="E201" t="s">
        <v>37</v>
      </c>
      <c r="F201" t="s">
        <v>113</v>
      </c>
      <c r="G201" t="s">
        <v>37</v>
      </c>
      <c r="J201" t="s">
        <v>43</v>
      </c>
      <c r="K201">
        <v>316235468</v>
      </c>
      <c r="L201" t="s">
        <v>596</v>
      </c>
      <c r="M201">
        <v>3.02</v>
      </c>
      <c r="N201" t="s">
        <v>169</v>
      </c>
      <c r="O201" t="s">
        <v>612</v>
      </c>
      <c r="P201" t="s">
        <v>46</v>
      </c>
      <c r="Q201">
        <v>4819.1</v>
      </c>
      <c r="R201" t="s">
        <v>144</v>
      </c>
      <c r="S201">
        <v>100</v>
      </c>
      <c r="T201">
        <v>1</v>
      </c>
      <c r="U201">
        <v>100</v>
      </c>
      <c r="V201">
        <v>1</v>
      </c>
      <c r="W201">
        <v>0.0</v>
      </c>
      <c r="X201">
        <v>0.0</v>
      </c>
      <c r="Y201">
        <v>0.0</v>
      </c>
      <c r="Z201">
        <v>0.0</v>
      </c>
      <c r="AA201">
        <v>0.0</v>
      </c>
      <c r="AB201">
        <v>0.0</v>
      </c>
      <c r="AC201">
        <v>0.0</v>
      </c>
      <c r="AD201">
        <v>0.0</v>
      </c>
      <c r="AG201" t="str">
        <f>HYPERLINK("https://fwc26.smmarta.com/nomenclature/1066/images-download", "Download")</f>
        <v>0</v>
      </c>
    </row>
    <row r="202" spans="1:33">
      <c r="A202" t="s">
        <v>613</v>
      </c>
      <c r="B202" t="s">
        <v>614</v>
      </c>
      <c r="C202" t="s">
        <v>35</v>
      </c>
      <c r="D202" t="s">
        <v>36</v>
      </c>
      <c r="E202" t="s">
        <v>37</v>
      </c>
      <c r="F202" t="s">
        <v>113</v>
      </c>
      <c r="G202" t="s">
        <v>37</v>
      </c>
      <c r="H202">
        <v>10</v>
      </c>
      <c r="J202" t="s">
        <v>312</v>
      </c>
      <c r="K202" t="s">
        <v>615</v>
      </c>
      <c r="M202">
        <v>5.58</v>
      </c>
      <c r="W202">
        <v>0.0</v>
      </c>
      <c r="X202">
        <v>0.0</v>
      </c>
      <c r="Y202">
        <v>0.0</v>
      </c>
      <c r="Z202">
        <v>0.0</v>
      </c>
      <c r="AA202">
        <v>0.0</v>
      </c>
      <c r="AB202">
        <v>0.0</v>
      </c>
      <c r="AC202">
        <v>0.0</v>
      </c>
      <c r="AD202">
        <v>0.0</v>
      </c>
    </row>
    <row r="203" spans="1:33">
      <c r="A203" t="s">
        <v>616</v>
      </c>
      <c r="B203" t="s">
        <v>617</v>
      </c>
      <c r="C203" t="s">
        <v>618</v>
      </c>
      <c r="D203" t="s">
        <v>36</v>
      </c>
      <c r="E203" t="s">
        <v>37</v>
      </c>
      <c r="F203" t="s">
        <v>37</v>
      </c>
      <c r="G203" t="s">
        <v>37</v>
      </c>
      <c r="H203">
        <v>1</v>
      </c>
      <c r="J203" t="s">
        <v>619</v>
      </c>
      <c r="K203" t="s">
        <v>620</v>
      </c>
      <c r="L203" t="s">
        <v>621</v>
      </c>
      <c r="M203">
        <v>579</v>
      </c>
      <c r="P203" t="s">
        <v>46</v>
      </c>
      <c r="W203">
        <v>73.0</v>
      </c>
      <c r="X203">
        <v>34.0</v>
      </c>
      <c r="Y203">
        <v>33.0</v>
      </c>
      <c r="Z203">
        <v>30.0</v>
      </c>
      <c r="AA203">
        <v>0.0</v>
      </c>
      <c r="AB203">
        <v>0.0</v>
      </c>
      <c r="AC203">
        <v>0.0</v>
      </c>
      <c r="AD203">
        <v>0.0</v>
      </c>
      <c r="AG203" t="str">
        <f>HYPERLINK("https://fwc26.smmarta.com/nomenclature/831/images-download", "Download")</f>
        <v>0</v>
      </c>
    </row>
    <row r="204" spans="1:33">
      <c r="A204" t="s">
        <v>622</v>
      </c>
      <c r="B204" t="s">
        <v>623</v>
      </c>
      <c r="C204" t="s">
        <v>618</v>
      </c>
      <c r="D204" t="s">
        <v>36</v>
      </c>
      <c r="E204" t="s">
        <v>37</v>
      </c>
      <c r="F204" t="s">
        <v>37</v>
      </c>
      <c r="G204" t="s">
        <v>37</v>
      </c>
      <c r="H204">
        <v>1</v>
      </c>
      <c r="J204" t="s">
        <v>619</v>
      </c>
      <c r="M204">
        <v>29</v>
      </c>
      <c r="P204" t="s">
        <v>46</v>
      </c>
      <c r="W204">
        <v>0.0</v>
      </c>
      <c r="X204">
        <v>0.0</v>
      </c>
      <c r="Y204">
        <v>0.0</v>
      </c>
      <c r="Z204">
        <v>0.0</v>
      </c>
      <c r="AA204">
        <v>0.0</v>
      </c>
      <c r="AB204">
        <v>0.0</v>
      </c>
      <c r="AC204">
        <v>0.0</v>
      </c>
      <c r="AD204">
        <v>0.0</v>
      </c>
    </row>
    <row r="205" spans="1:33">
      <c r="A205" t="s">
        <v>624</v>
      </c>
      <c r="B205" t="s">
        <v>625</v>
      </c>
      <c r="C205" t="s">
        <v>618</v>
      </c>
      <c r="D205" t="s">
        <v>36</v>
      </c>
      <c r="E205" t="s">
        <v>37</v>
      </c>
      <c r="F205" t="s">
        <v>37</v>
      </c>
      <c r="G205" t="s">
        <v>37</v>
      </c>
      <c r="H205">
        <v>1</v>
      </c>
      <c r="J205" t="s">
        <v>619</v>
      </c>
      <c r="L205" t="s">
        <v>626</v>
      </c>
      <c r="M205">
        <v>1155</v>
      </c>
      <c r="P205" t="s">
        <v>46</v>
      </c>
      <c r="W205">
        <v>20.0</v>
      </c>
      <c r="X205">
        <v>10.0</v>
      </c>
      <c r="Y205">
        <v>14.0</v>
      </c>
      <c r="Z205">
        <v>28.0</v>
      </c>
      <c r="AA205">
        <v>26.0</v>
      </c>
      <c r="AB205">
        <v>15.0</v>
      </c>
      <c r="AC205">
        <v>21.0</v>
      </c>
      <c r="AD205">
        <v>41.0</v>
      </c>
      <c r="AG205" t="str">
        <f>HYPERLINK("https://fwc26.smmarta.com/nomenclature/833/images-download", "Download")</f>
        <v>0</v>
      </c>
    </row>
    <row r="206" spans="1:33">
      <c r="A206" t="s">
        <v>627</v>
      </c>
      <c r="B206" t="s">
        <v>628</v>
      </c>
      <c r="C206" t="s">
        <v>618</v>
      </c>
      <c r="D206" t="s">
        <v>36</v>
      </c>
      <c r="E206" t="s">
        <v>37</v>
      </c>
      <c r="F206" t="s">
        <v>37</v>
      </c>
      <c r="G206" t="s">
        <v>37</v>
      </c>
      <c r="H206">
        <v>1</v>
      </c>
      <c r="J206" t="s">
        <v>619</v>
      </c>
      <c r="L206" t="s">
        <v>629</v>
      </c>
      <c r="M206">
        <v>150</v>
      </c>
      <c r="P206" t="s">
        <v>46</v>
      </c>
      <c r="W206">
        <v>59.0</v>
      </c>
      <c r="X206">
        <v>27.5</v>
      </c>
      <c r="Y206">
        <v>27.5</v>
      </c>
      <c r="Z206">
        <v>0.0</v>
      </c>
      <c r="AA206">
        <v>0.0</v>
      </c>
      <c r="AB206">
        <v>0.0</v>
      </c>
      <c r="AC206">
        <v>0.0</v>
      </c>
      <c r="AD206">
        <v>0.0</v>
      </c>
      <c r="AG206" t="str">
        <f>HYPERLINK("https://fwc26.smmarta.com/nomenclature/834/images-download", "Download")</f>
        <v>0</v>
      </c>
    </row>
    <row r="207" spans="1:33">
      <c r="A207" t="s">
        <v>630</v>
      </c>
      <c r="B207" t="s">
        <v>631</v>
      </c>
      <c r="C207" t="s">
        <v>618</v>
      </c>
      <c r="D207" t="s">
        <v>36</v>
      </c>
      <c r="E207" t="s">
        <v>113</v>
      </c>
      <c r="F207" t="s">
        <v>37</v>
      </c>
      <c r="G207" t="s">
        <v>37</v>
      </c>
      <c r="J207" t="s">
        <v>619</v>
      </c>
      <c r="W207">
        <v>0.0</v>
      </c>
      <c r="X207">
        <v>0.0</v>
      </c>
      <c r="Y207">
        <v>0.0</v>
      </c>
      <c r="Z207">
        <v>0.0</v>
      </c>
      <c r="AA207">
        <v>0.0</v>
      </c>
      <c r="AB207">
        <v>0.0</v>
      </c>
      <c r="AC207">
        <v>0.0</v>
      </c>
      <c r="AD207">
        <v>0.0</v>
      </c>
      <c r="AE207" t="s">
        <v>632</v>
      </c>
      <c r="AG207" t="str">
        <f>HYPERLINK("https://fwc26.smmarta.com/nomenclature/1001/images-download", "Download")</f>
        <v>0</v>
      </c>
    </row>
    <row r="208" spans="1:33">
      <c r="A208" t="s">
        <v>633</v>
      </c>
      <c r="B208" t="s">
        <v>634</v>
      </c>
      <c r="C208" t="s">
        <v>618</v>
      </c>
      <c r="D208" t="s">
        <v>36</v>
      </c>
      <c r="E208" t="s">
        <v>113</v>
      </c>
      <c r="F208" t="s">
        <v>37</v>
      </c>
      <c r="G208" t="s">
        <v>37</v>
      </c>
      <c r="J208" t="s">
        <v>619</v>
      </c>
      <c r="W208">
        <v>0.0</v>
      </c>
      <c r="X208">
        <v>0.0</v>
      </c>
      <c r="Y208">
        <v>0.0</v>
      </c>
      <c r="Z208">
        <v>0.0</v>
      </c>
      <c r="AA208">
        <v>0.0</v>
      </c>
      <c r="AB208">
        <v>0.0</v>
      </c>
      <c r="AC208">
        <v>0.0</v>
      </c>
      <c r="AD208">
        <v>0.0</v>
      </c>
      <c r="AE208" t="s">
        <v>635</v>
      </c>
      <c r="AG208" t="str">
        <f>HYPERLINK("https://fwc26.smmarta.com/nomenclature/1003/images-download", "Download")</f>
        <v>0</v>
      </c>
    </row>
    <row r="209" spans="1:33">
      <c r="A209" t="s">
        <v>636</v>
      </c>
      <c r="B209" t="s">
        <v>637</v>
      </c>
      <c r="C209" t="s">
        <v>618</v>
      </c>
      <c r="D209" t="s">
        <v>36</v>
      </c>
      <c r="E209" t="s">
        <v>113</v>
      </c>
      <c r="F209" t="s">
        <v>37</v>
      </c>
      <c r="G209" t="s">
        <v>37</v>
      </c>
      <c r="J209" t="s">
        <v>619</v>
      </c>
      <c r="W209">
        <v>0.0</v>
      </c>
      <c r="X209">
        <v>0.0</v>
      </c>
      <c r="Y209">
        <v>0.0</v>
      </c>
      <c r="Z209">
        <v>0.0</v>
      </c>
      <c r="AA209">
        <v>0.0</v>
      </c>
      <c r="AB209">
        <v>0.0</v>
      </c>
      <c r="AC209">
        <v>0.0</v>
      </c>
      <c r="AD209">
        <v>0.0</v>
      </c>
      <c r="AE209" t="s">
        <v>638</v>
      </c>
      <c r="AG209" t="str">
        <f>HYPERLINK("https://fwc26.smmarta.com/nomenclature/1004/images-download", "Download")</f>
        <v>0</v>
      </c>
    </row>
    <row r="210" spans="1:33">
      <c r="A210" t="s">
        <v>639</v>
      </c>
      <c r="B210" t="s">
        <v>640</v>
      </c>
      <c r="C210" t="s">
        <v>618</v>
      </c>
      <c r="D210" t="s">
        <v>641</v>
      </c>
      <c r="E210" t="s">
        <v>37</v>
      </c>
      <c r="F210" t="s">
        <v>37</v>
      </c>
      <c r="G210" t="s">
        <v>37</v>
      </c>
      <c r="J210" t="s">
        <v>619</v>
      </c>
      <c r="M210">
        <v>10000</v>
      </c>
      <c r="P210" t="s">
        <v>46</v>
      </c>
      <c r="W210">
        <v>24.0</v>
      </c>
      <c r="X210">
        <v>24.0</v>
      </c>
      <c r="Y210">
        <v>30.0</v>
      </c>
      <c r="Z210">
        <v>55.0</v>
      </c>
      <c r="AA210">
        <v>0.0</v>
      </c>
      <c r="AB210">
        <v>0.0</v>
      </c>
      <c r="AC210">
        <v>0.0</v>
      </c>
      <c r="AD210">
        <v>0.0</v>
      </c>
      <c r="AG210" t="str">
        <f>HYPERLINK("https://fwc26.smmarta.com/nomenclature/742/images-download", "Download")</f>
        <v>0</v>
      </c>
    </row>
    <row r="211" spans="1:33">
      <c r="A211" t="s">
        <v>642</v>
      </c>
      <c r="B211" t="s">
        <v>643</v>
      </c>
      <c r="C211" t="s">
        <v>618</v>
      </c>
      <c r="D211" t="s">
        <v>641</v>
      </c>
      <c r="E211" t="s">
        <v>37</v>
      </c>
      <c r="F211" t="s">
        <v>37</v>
      </c>
      <c r="G211" t="s">
        <v>37</v>
      </c>
      <c r="J211" t="s">
        <v>619</v>
      </c>
      <c r="M211">
        <v>10000</v>
      </c>
      <c r="P211" t="s">
        <v>46</v>
      </c>
      <c r="W211">
        <v>24.0</v>
      </c>
      <c r="X211">
        <v>24.0</v>
      </c>
      <c r="Y211">
        <v>30.0</v>
      </c>
      <c r="Z211">
        <v>55.0</v>
      </c>
      <c r="AA211">
        <v>0.0</v>
      </c>
      <c r="AB211">
        <v>0.0</v>
      </c>
      <c r="AC211">
        <v>0.0</v>
      </c>
      <c r="AD211">
        <v>0.0</v>
      </c>
      <c r="AG211" t="str">
        <f>HYPERLINK("https://fwc26.smmarta.com/nomenclature/744/images-download", "Download")</f>
        <v>0</v>
      </c>
    </row>
    <row r="212" spans="1:33">
      <c r="A212" t="s">
        <v>644</v>
      </c>
      <c r="B212" t="s">
        <v>645</v>
      </c>
      <c r="C212" t="s">
        <v>618</v>
      </c>
      <c r="D212" t="s">
        <v>641</v>
      </c>
      <c r="E212" t="s">
        <v>37</v>
      </c>
      <c r="F212" t="s">
        <v>37</v>
      </c>
      <c r="G212" t="s">
        <v>37</v>
      </c>
      <c r="J212" t="s">
        <v>619</v>
      </c>
      <c r="M212">
        <v>10000</v>
      </c>
      <c r="P212" t="s">
        <v>46</v>
      </c>
      <c r="W212">
        <v>24.0</v>
      </c>
      <c r="X212">
        <v>24.0</v>
      </c>
      <c r="Y212">
        <v>30.0</v>
      </c>
      <c r="Z212">
        <v>55.0</v>
      </c>
      <c r="AA212">
        <v>0.0</v>
      </c>
      <c r="AB212">
        <v>0.0</v>
      </c>
      <c r="AC212">
        <v>0.0</v>
      </c>
      <c r="AD212">
        <v>0.0</v>
      </c>
      <c r="AG212" t="str">
        <f>HYPERLINK("https://fwc26.smmarta.com/nomenclature/745/images-download", "Download")</f>
        <v>0</v>
      </c>
    </row>
    <row r="213" spans="1:33">
      <c r="A213" t="s">
        <v>646</v>
      </c>
      <c r="B213" t="s">
        <v>647</v>
      </c>
      <c r="C213" t="s">
        <v>618</v>
      </c>
      <c r="D213" t="s">
        <v>641</v>
      </c>
      <c r="E213" t="s">
        <v>37</v>
      </c>
      <c r="F213" t="s">
        <v>37</v>
      </c>
      <c r="G213" t="s">
        <v>37</v>
      </c>
      <c r="J213" t="s">
        <v>619</v>
      </c>
      <c r="M213">
        <v>10000</v>
      </c>
      <c r="P213" t="s">
        <v>46</v>
      </c>
      <c r="W213">
        <v>30.0</v>
      </c>
      <c r="X213">
        <v>30.0</v>
      </c>
      <c r="Y213">
        <v>30.0</v>
      </c>
      <c r="Z213">
        <v>30.0</v>
      </c>
      <c r="AA213">
        <v>0.0</v>
      </c>
      <c r="AB213">
        <v>0.0</v>
      </c>
      <c r="AC213">
        <v>0.0</v>
      </c>
      <c r="AD213">
        <v>0.0</v>
      </c>
    </row>
    <row r="214" spans="1:33">
      <c r="A214" t="s">
        <v>648</v>
      </c>
      <c r="B214" t="s">
        <v>649</v>
      </c>
      <c r="C214" t="s">
        <v>618</v>
      </c>
      <c r="D214" t="s">
        <v>641</v>
      </c>
      <c r="E214" t="s">
        <v>37</v>
      </c>
      <c r="F214" t="s">
        <v>37</v>
      </c>
      <c r="G214" t="s">
        <v>37</v>
      </c>
      <c r="J214" t="s">
        <v>619</v>
      </c>
      <c r="M214">
        <v>10000</v>
      </c>
      <c r="P214" t="s">
        <v>46</v>
      </c>
      <c r="W214">
        <v>30.0</v>
      </c>
      <c r="X214">
        <v>30.0</v>
      </c>
      <c r="Y214">
        <v>30.0</v>
      </c>
      <c r="Z214">
        <v>30.0</v>
      </c>
      <c r="AA214">
        <v>0.0</v>
      </c>
      <c r="AB214">
        <v>0.0</v>
      </c>
      <c r="AC214">
        <v>0.0</v>
      </c>
      <c r="AD214">
        <v>0.0</v>
      </c>
    </row>
    <row r="215" spans="1:33">
      <c r="A215" t="s">
        <v>650</v>
      </c>
      <c r="B215" t="s">
        <v>651</v>
      </c>
      <c r="C215" t="s">
        <v>618</v>
      </c>
      <c r="D215" t="s">
        <v>641</v>
      </c>
      <c r="E215" t="s">
        <v>37</v>
      </c>
      <c r="F215" t="s">
        <v>37</v>
      </c>
      <c r="G215" t="s">
        <v>37</v>
      </c>
      <c r="J215" t="s">
        <v>619</v>
      </c>
      <c r="M215">
        <v>10000</v>
      </c>
      <c r="P215" t="s">
        <v>46</v>
      </c>
      <c r="W215">
        <v>30.0</v>
      </c>
      <c r="X215">
        <v>30.0</v>
      </c>
      <c r="Y215">
        <v>30.0</v>
      </c>
      <c r="Z215">
        <v>30.0</v>
      </c>
      <c r="AA215">
        <v>0.0</v>
      </c>
      <c r="AB215">
        <v>0.0</v>
      </c>
      <c r="AC215">
        <v>0.0</v>
      </c>
      <c r="AD215">
        <v>0.0</v>
      </c>
    </row>
    <row r="216" spans="1:33">
      <c r="A216" t="s">
        <v>652</v>
      </c>
      <c r="B216" t="s">
        <v>653</v>
      </c>
      <c r="C216" t="s">
        <v>618</v>
      </c>
      <c r="D216" t="s">
        <v>641</v>
      </c>
      <c r="E216" t="s">
        <v>37</v>
      </c>
      <c r="F216" t="s">
        <v>37</v>
      </c>
      <c r="G216" t="s">
        <v>37</v>
      </c>
      <c r="J216" t="s">
        <v>619</v>
      </c>
      <c r="M216">
        <v>5000</v>
      </c>
      <c r="P216" t="s">
        <v>46</v>
      </c>
      <c r="W216">
        <v>0.0</v>
      </c>
      <c r="X216">
        <v>0.0</v>
      </c>
      <c r="Y216">
        <v>0.0</v>
      </c>
      <c r="Z216">
        <v>0.0</v>
      </c>
      <c r="AA216">
        <v>0.0</v>
      </c>
      <c r="AB216">
        <v>0.0</v>
      </c>
      <c r="AC216">
        <v>0.0</v>
      </c>
      <c r="AD216">
        <v>0.0</v>
      </c>
    </row>
    <row r="217" spans="1:33">
      <c r="A217" t="s">
        <v>654</v>
      </c>
      <c r="B217" t="s">
        <v>655</v>
      </c>
      <c r="C217" t="s">
        <v>618</v>
      </c>
      <c r="D217" t="s">
        <v>36</v>
      </c>
      <c r="E217" t="s">
        <v>37</v>
      </c>
      <c r="F217" t="s">
        <v>37</v>
      </c>
      <c r="G217" t="s">
        <v>37</v>
      </c>
      <c r="J217" t="s">
        <v>619</v>
      </c>
      <c r="W217">
        <v>0.0</v>
      </c>
      <c r="X217">
        <v>0.0</v>
      </c>
      <c r="Y217">
        <v>0.0</v>
      </c>
      <c r="Z217">
        <v>0.0</v>
      </c>
      <c r="AA217">
        <v>0.0</v>
      </c>
      <c r="AB217">
        <v>0.0</v>
      </c>
      <c r="AC217">
        <v>0.0</v>
      </c>
      <c r="AD217">
        <v>0.0</v>
      </c>
    </row>
    <row r="218" spans="1:33">
      <c r="A218" t="s">
        <v>656</v>
      </c>
      <c r="B218" t="s">
        <v>657</v>
      </c>
      <c r="C218" t="s">
        <v>618</v>
      </c>
      <c r="D218" t="s">
        <v>36</v>
      </c>
      <c r="E218" t="s">
        <v>37</v>
      </c>
      <c r="F218" t="s">
        <v>37</v>
      </c>
      <c r="G218" t="s">
        <v>37</v>
      </c>
      <c r="J218" t="s">
        <v>619</v>
      </c>
      <c r="M218">
        <v>55</v>
      </c>
      <c r="P218" t="s">
        <v>46</v>
      </c>
      <c r="W218">
        <v>0.0</v>
      </c>
      <c r="X218">
        <v>0.0</v>
      </c>
      <c r="Y218">
        <v>0.0</v>
      </c>
      <c r="Z218">
        <v>0.0</v>
      </c>
      <c r="AA218">
        <v>0.0</v>
      </c>
      <c r="AB218">
        <v>0.0</v>
      </c>
      <c r="AC218">
        <v>0.0</v>
      </c>
      <c r="AD218">
        <v>0.0</v>
      </c>
    </row>
    <row r="219" spans="1:33">
      <c r="A219" t="s">
        <v>658</v>
      </c>
      <c r="B219" t="s">
        <v>659</v>
      </c>
      <c r="C219" t="s">
        <v>618</v>
      </c>
      <c r="D219" t="s">
        <v>36</v>
      </c>
      <c r="E219" t="s">
        <v>37</v>
      </c>
      <c r="F219" t="s">
        <v>37</v>
      </c>
      <c r="G219" t="s">
        <v>37</v>
      </c>
      <c r="J219" t="s">
        <v>619</v>
      </c>
      <c r="M219">
        <v>8125</v>
      </c>
      <c r="O219" t="s">
        <v>660</v>
      </c>
      <c r="W219">
        <v>0.0</v>
      </c>
      <c r="X219">
        <v>0.0</v>
      </c>
      <c r="Y219">
        <v>0.0</v>
      </c>
      <c r="Z219">
        <v>0.0</v>
      </c>
      <c r="AA219">
        <v>0.0</v>
      </c>
      <c r="AB219">
        <v>0.0</v>
      </c>
      <c r="AC219">
        <v>0.0</v>
      </c>
      <c r="AD219">
        <v>0.0</v>
      </c>
    </row>
    <row r="220" spans="1:33">
      <c r="A220" t="s">
        <v>661</v>
      </c>
      <c r="B220" t="s">
        <v>662</v>
      </c>
      <c r="C220" t="s">
        <v>618</v>
      </c>
      <c r="D220" t="s">
        <v>36</v>
      </c>
      <c r="E220" t="s">
        <v>113</v>
      </c>
      <c r="F220" t="s">
        <v>37</v>
      </c>
      <c r="G220" t="s">
        <v>37</v>
      </c>
      <c r="H220">
        <v>1</v>
      </c>
      <c r="J220" t="s">
        <v>619</v>
      </c>
      <c r="M220">
        <v>70.83</v>
      </c>
      <c r="P220">
        <v>9817</v>
      </c>
      <c r="Q220">
        <v>95066200</v>
      </c>
      <c r="R220" t="s">
        <v>48</v>
      </c>
      <c r="W220">
        <v>0.0</v>
      </c>
      <c r="X220">
        <v>0.0</v>
      </c>
      <c r="Y220">
        <v>0.0</v>
      </c>
      <c r="Z220">
        <v>0.0</v>
      </c>
      <c r="AA220">
        <v>0.0</v>
      </c>
      <c r="AB220">
        <v>0.0</v>
      </c>
      <c r="AC220">
        <v>0.0</v>
      </c>
      <c r="AD220">
        <v>0.0</v>
      </c>
    </row>
    <row r="221" spans="1:33">
      <c r="A221" t="s">
        <v>663</v>
      </c>
      <c r="B221" t="s">
        <v>664</v>
      </c>
      <c r="C221" t="s">
        <v>618</v>
      </c>
      <c r="D221" t="s">
        <v>36</v>
      </c>
      <c r="E221" t="s">
        <v>113</v>
      </c>
      <c r="F221" t="s">
        <v>37</v>
      </c>
      <c r="G221" t="s">
        <v>37</v>
      </c>
      <c r="J221" t="s">
        <v>619</v>
      </c>
      <c r="M221">
        <v>7.08</v>
      </c>
      <c r="P221">
        <v>9817</v>
      </c>
      <c r="Q221">
        <v>95030095</v>
      </c>
      <c r="R221" t="s">
        <v>665</v>
      </c>
      <c r="W221">
        <v>0.0</v>
      </c>
      <c r="X221">
        <v>0.0</v>
      </c>
      <c r="Y221">
        <v>0.0</v>
      </c>
      <c r="Z221">
        <v>0.0</v>
      </c>
      <c r="AA221">
        <v>0.0</v>
      </c>
      <c r="AB221">
        <v>0.0</v>
      </c>
      <c r="AC221">
        <v>0.0</v>
      </c>
      <c r="AD221">
        <v>0.0</v>
      </c>
    </row>
    <row r="222" spans="1:33">
      <c r="A222" t="s">
        <v>666</v>
      </c>
      <c r="B222" t="s">
        <v>667</v>
      </c>
      <c r="C222" t="s">
        <v>618</v>
      </c>
      <c r="D222" t="s">
        <v>36</v>
      </c>
      <c r="E222" t="s">
        <v>113</v>
      </c>
      <c r="F222" t="s">
        <v>37</v>
      </c>
      <c r="G222" t="s">
        <v>37</v>
      </c>
      <c r="H222">
        <v>1</v>
      </c>
      <c r="J222" t="s">
        <v>619</v>
      </c>
      <c r="M222">
        <v>64.14</v>
      </c>
      <c r="P222">
        <v>9817</v>
      </c>
      <c r="Q222">
        <v>95066200</v>
      </c>
      <c r="R222" t="s">
        <v>665</v>
      </c>
      <c r="W222">
        <v>0.0</v>
      </c>
      <c r="X222">
        <v>0.0</v>
      </c>
      <c r="Y222">
        <v>0.0</v>
      </c>
      <c r="Z222">
        <v>0.0</v>
      </c>
      <c r="AA222">
        <v>0.0</v>
      </c>
      <c r="AB222">
        <v>0.0</v>
      </c>
      <c r="AC222">
        <v>0.0</v>
      </c>
      <c r="AD222">
        <v>0.0</v>
      </c>
    </row>
    <row r="223" spans="1:33">
      <c r="A223" t="s">
        <v>668</v>
      </c>
      <c r="B223" t="s">
        <v>669</v>
      </c>
      <c r="C223" t="s">
        <v>618</v>
      </c>
      <c r="D223" t="s">
        <v>36</v>
      </c>
      <c r="E223" t="s">
        <v>37</v>
      </c>
      <c r="F223" t="s">
        <v>37</v>
      </c>
      <c r="G223" t="s">
        <v>37</v>
      </c>
      <c r="J223" t="s">
        <v>619</v>
      </c>
      <c r="W223">
        <v>0.0</v>
      </c>
      <c r="X223">
        <v>0.0</v>
      </c>
      <c r="Y223">
        <v>0.0</v>
      </c>
      <c r="Z223">
        <v>0.0</v>
      </c>
      <c r="AA223">
        <v>0.0</v>
      </c>
      <c r="AB223">
        <v>0.0</v>
      </c>
      <c r="AC223">
        <v>0.0</v>
      </c>
      <c r="AD223">
        <v>0.0</v>
      </c>
      <c r="AG223" t="str">
        <f>HYPERLINK("https://fwc26.smmarta.com/nomenclature/841/images-download", "Download")</f>
        <v>0</v>
      </c>
    </row>
    <row r="224" spans="1:33">
      <c r="A224" t="s">
        <v>670</v>
      </c>
      <c r="B224" t="s">
        <v>669</v>
      </c>
      <c r="C224" t="s">
        <v>618</v>
      </c>
      <c r="D224" t="s">
        <v>36</v>
      </c>
      <c r="E224" t="s">
        <v>37</v>
      </c>
      <c r="F224" t="s">
        <v>37</v>
      </c>
      <c r="G224" t="s">
        <v>37</v>
      </c>
      <c r="J224" t="s">
        <v>619</v>
      </c>
      <c r="W224">
        <v>0.0</v>
      </c>
      <c r="X224">
        <v>0.0</v>
      </c>
      <c r="Y224">
        <v>0.0</v>
      </c>
      <c r="Z224">
        <v>0.0</v>
      </c>
      <c r="AA224">
        <v>0.0</v>
      </c>
      <c r="AB224">
        <v>0.0</v>
      </c>
      <c r="AC224">
        <v>0.0</v>
      </c>
      <c r="AD224">
        <v>0.0</v>
      </c>
    </row>
    <row r="225" spans="1:33">
      <c r="A225" t="s">
        <v>671</v>
      </c>
      <c r="B225" t="s">
        <v>672</v>
      </c>
      <c r="C225" t="s">
        <v>618</v>
      </c>
      <c r="D225" t="s">
        <v>36</v>
      </c>
      <c r="E225" t="s">
        <v>37</v>
      </c>
      <c r="F225" t="s">
        <v>37</v>
      </c>
      <c r="G225" t="s">
        <v>37</v>
      </c>
      <c r="J225" t="s">
        <v>619</v>
      </c>
      <c r="W225">
        <v>0.0</v>
      </c>
      <c r="X225">
        <v>0.0</v>
      </c>
      <c r="Y225">
        <v>0.0</v>
      </c>
      <c r="Z225">
        <v>0.0</v>
      </c>
      <c r="AA225">
        <v>0.0</v>
      </c>
      <c r="AB225">
        <v>0.0</v>
      </c>
      <c r="AC225">
        <v>0.0</v>
      </c>
      <c r="AD225">
        <v>0.0</v>
      </c>
    </row>
    <row r="226" spans="1:33">
      <c r="A226" t="s">
        <v>673</v>
      </c>
      <c r="B226" t="s">
        <v>674</v>
      </c>
      <c r="C226" t="s">
        <v>618</v>
      </c>
      <c r="D226" t="s">
        <v>36</v>
      </c>
      <c r="E226" t="s">
        <v>37</v>
      </c>
      <c r="F226" t="s">
        <v>37</v>
      </c>
      <c r="G226" t="s">
        <v>37</v>
      </c>
      <c r="H226">
        <v>1</v>
      </c>
      <c r="J226" t="s">
        <v>619</v>
      </c>
      <c r="L226" t="s">
        <v>675</v>
      </c>
      <c r="M226">
        <v>2239.14</v>
      </c>
      <c r="W226">
        <v>0.0</v>
      </c>
      <c r="X226">
        <v>0.0</v>
      </c>
      <c r="Y226">
        <v>0.0</v>
      </c>
      <c r="Z226">
        <v>0.0</v>
      </c>
      <c r="AA226">
        <v>0.0</v>
      </c>
      <c r="AB226">
        <v>0.0</v>
      </c>
      <c r="AC226">
        <v>0.0</v>
      </c>
      <c r="AD226">
        <v>0.0</v>
      </c>
      <c r="AG226" t="str">
        <f>HYPERLINK("https://fwc26.smmarta.com/nomenclature/844/images-download", "Download")</f>
        <v>0</v>
      </c>
    </row>
    <row r="227" spans="1:33">
      <c r="A227" t="s">
        <v>676</v>
      </c>
      <c r="B227" t="s">
        <v>677</v>
      </c>
      <c r="C227" t="s">
        <v>618</v>
      </c>
      <c r="D227" t="s">
        <v>36</v>
      </c>
      <c r="E227" t="s">
        <v>37</v>
      </c>
      <c r="F227" t="s">
        <v>37</v>
      </c>
      <c r="G227" t="s">
        <v>37</v>
      </c>
      <c r="H227">
        <v>1</v>
      </c>
      <c r="J227" t="s">
        <v>619</v>
      </c>
      <c r="L227" t="s">
        <v>678</v>
      </c>
      <c r="M227">
        <v>4326</v>
      </c>
      <c r="W227">
        <v>0.0</v>
      </c>
      <c r="X227">
        <v>0.0</v>
      </c>
      <c r="Y227">
        <v>0.0</v>
      </c>
      <c r="Z227">
        <v>0.0</v>
      </c>
      <c r="AA227">
        <v>0.0</v>
      </c>
      <c r="AB227">
        <v>0.0</v>
      </c>
      <c r="AC227">
        <v>0.0</v>
      </c>
      <c r="AD227">
        <v>0.0</v>
      </c>
      <c r="AG227" t="str">
        <f>HYPERLINK("https://fwc26.smmarta.com/nomenclature/845/images-download", "Download")</f>
        <v>0</v>
      </c>
    </row>
    <row r="228" spans="1:33">
      <c r="A228" t="s">
        <v>679</v>
      </c>
      <c r="B228" t="s">
        <v>680</v>
      </c>
      <c r="C228" t="s">
        <v>618</v>
      </c>
      <c r="D228" t="s">
        <v>641</v>
      </c>
      <c r="E228" t="s">
        <v>37</v>
      </c>
      <c r="F228" t="s">
        <v>37</v>
      </c>
      <c r="G228" t="s">
        <v>37</v>
      </c>
      <c r="H228">
        <v>1</v>
      </c>
      <c r="J228" t="s">
        <v>619</v>
      </c>
      <c r="L228" t="s">
        <v>678</v>
      </c>
      <c r="M228">
        <v>256</v>
      </c>
      <c r="W228">
        <v>0.0</v>
      </c>
      <c r="X228">
        <v>0.0</v>
      </c>
      <c r="Y228">
        <v>0.0</v>
      </c>
      <c r="Z228">
        <v>0.0</v>
      </c>
      <c r="AA228">
        <v>0.0</v>
      </c>
      <c r="AB228">
        <v>0.0</v>
      </c>
      <c r="AC228">
        <v>0.0</v>
      </c>
      <c r="AD228">
        <v>0.0</v>
      </c>
      <c r="AG228" t="str">
        <f>HYPERLINK("https://fwc26.smmarta.com/nomenclature/846/images-download", "Download")</f>
        <v>0</v>
      </c>
    </row>
    <row r="229" spans="1:33">
      <c r="A229" t="s">
        <v>681</v>
      </c>
      <c r="B229" t="s">
        <v>682</v>
      </c>
      <c r="C229" t="s">
        <v>618</v>
      </c>
      <c r="D229" t="s">
        <v>641</v>
      </c>
      <c r="E229" t="s">
        <v>37</v>
      </c>
      <c r="F229" t="s">
        <v>37</v>
      </c>
      <c r="G229" t="s">
        <v>37</v>
      </c>
      <c r="J229" t="s">
        <v>619</v>
      </c>
      <c r="M229">
        <v>50</v>
      </c>
      <c r="W229">
        <v>0.0</v>
      </c>
      <c r="X229">
        <v>0.0</v>
      </c>
      <c r="Y229">
        <v>0.0</v>
      </c>
      <c r="Z229">
        <v>0.0</v>
      </c>
      <c r="AA229">
        <v>0.0</v>
      </c>
      <c r="AB229">
        <v>0.0</v>
      </c>
      <c r="AC229">
        <v>0.0</v>
      </c>
      <c r="AD229">
        <v>0.0</v>
      </c>
    </row>
    <row r="230" spans="1:33">
      <c r="A230" t="s">
        <v>683</v>
      </c>
      <c r="B230" t="s">
        <v>684</v>
      </c>
      <c r="C230" t="s">
        <v>618</v>
      </c>
      <c r="D230" t="s">
        <v>36</v>
      </c>
      <c r="E230" t="s">
        <v>37</v>
      </c>
      <c r="F230" t="s">
        <v>37</v>
      </c>
      <c r="G230" t="s">
        <v>37</v>
      </c>
      <c r="H230">
        <v>1</v>
      </c>
      <c r="J230" t="s">
        <v>619</v>
      </c>
      <c r="L230" t="s">
        <v>685</v>
      </c>
      <c r="M230">
        <v>179.98</v>
      </c>
      <c r="W230">
        <v>0.0</v>
      </c>
      <c r="X230">
        <v>0.0</v>
      </c>
      <c r="Y230">
        <v>0.0</v>
      </c>
      <c r="Z230">
        <v>0.0</v>
      </c>
      <c r="AA230">
        <v>0.0</v>
      </c>
      <c r="AB230">
        <v>0.0</v>
      </c>
      <c r="AC230">
        <v>0.0</v>
      </c>
      <c r="AD230">
        <v>0.0</v>
      </c>
      <c r="AG230" t="str">
        <f>HYPERLINK("https://fwc26.smmarta.com/nomenclature/848/images-download", "Download")</f>
        <v>0</v>
      </c>
    </row>
    <row r="231" spans="1:33">
      <c r="A231" t="s">
        <v>686</v>
      </c>
      <c r="B231" t="s">
        <v>687</v>
      </c>
      <c r="C231" t="s">
        <v>618</v>
      </c>
      <c r="D231" t="s">
        <v>36</v>
      </c>
      <c r="E231" t="s">
        <v>37</v>
      </c>
      <c r="F231" t="s">
        <v>37</v>
      </c>
      <c r="G231" t="s">
        <v>37</v>
      </c>
      <c r="J231" t="s">
        <v>619</v>
      </c>
      <c r="L231" t="s">
        <v>685</v>
      </c>
      <c r="M231">
        <v>189</v>
      </c>
      <c r="W231">
        <v>0.0</v>
      </c>
      <c r="X231">
        <v>0.0</v>
      </c>
      <c r="Y231">
        <v>0.0</v>
      </c>
      <c r="Z231">
        <v>0.0</v>
      </c>
      <c r="AA231">
        <v>0.0</v>
      </c>
      <c r="AB231">
        <v>0.0</v>
      </c>
      <c r="AC231">
        <v>0.0</v>
      </c>
      <c r="AD231">
        <v>0.0</v>
      </c>
    </row>
    <row r="232" spans="1:33">
      <c r="A232" t="s">
        <v>688</v>
      </c>
      <c r="B232" t="s">
        <v>689</v>
      </c>
      <c r="C232" t="s">
        <v>618</v>
      </c>
      <c r="D232" t="s">
        <v>36</v>
      </c>
      <c r="E232" t="s">
        <v>37</v>
      </c>
      <c r="F232" t="s">
        <v>37</v>
      </c>
      <c r="G232" t="s">
        <v>37</v>
      </c>
      <c r="H232">
        <v>1</v>
      </c>
      <c r="J232" t="s">
        <v>619</v>
      </c>
      <c r="L232" t="s">
        <v>685</v>
      </c>
      <c r="M232">
        <v>999.99</v>
      </c>
      <c r="W232">
        <v>0.0</v>
      </c>
      <c r="X232">
        <v>0.0</v>
      </c>
      <c r="Y232">
        <v>0.0</v>
      </c>
      <c r="Z232">
        <v>0.0</v>
      </c>
      <c r="AA232">
        <v>0.0</v>
      </c>
      <c r="AB232">
        <v>0.0</v>
      </c>
      <c r="AC232">
        <v>0.0</v>
      </c>
      <c r="AD232">
        <v>0.0</v>
      </c>
      <c r="AG232" t="str">
        <f>HYPERLINK("https://fwc26.smmarta.com/nomenclature/850/images-download", "Download")</f>
        <v>0</v>
      </c>
    </row>
    <row r="233" spans="1:33">
      <c r="A233" t="s">
        <v>690</v>
      </c>
      <c r="B233" t="s">
        <v>691</v>
      </c>
      <c r="C233" t="s">
        <v>618</v>
      </c>
      <c r="D233" t="s">
        <v>36</v>
      </c>
      <c r="E233" t="s">
        <v>37</v>
      </c>
      <c r="F233" t="s">
        <v>37</v>
      </c>
      <c r="G233" t="s">
        <v>37</v>
      </c>
      <c r="H233">
        <v>1</v>
      </c>
      <c r="J233" t="s">
        <v>619</v>
      </c>
      <c r="L233" t="s">
        <v>685</v>
      </c>
      <c r="M233">
        <v>920.26</v>
      </c>
      <c r="W233">
        <v>0.0</v>
      </c>
      <c r="X233">
        <v>0.0</v>
      </c>
      <c r="Y233">
        <v>0.0</v>
      </c>
      <c r="Z233">
        <v>0.0</v>
      </c>
      <c r="AA233">
        <v>0.0</v>
      </c>
      <c r="AB233">
        <v>0.0</v>
      </c>
      <c r="AC233">
        <v>0.0</v>
      </c>
      <c r="AD233">
        <v>0.0</v>
      </c>
    </row>
    <row r="234" spans="1:33">
      <c r="A234" t="s">
        <v>692</v>
      </c>
      <c r="B234" t="s">
        <v>693</v>
      </c>
      <c r="C234" t="s">
        <v>618</v>
      </c>
      <c r="D234" t="s">
        <v>36</v>
      </c>
      <c r="E234" t="s">
        <v>37</v>
      </c>
      <c r="F234" t="s">
        <v>37</v>
      </c>
      <c r="G234" t="s">
        <v>37</v>
      </c>
      <c r="H234">
        <v>1</v>
      </c>
      <c r="J234" t="s">
        <v>619</v>
      </c>
      <c r="L234" t="s">
        <v>685</v>
      </c>
      <c r="M234">
        <v>999.99</v>
      </c>
      <c r="W234">
        <v>0.0</v>
      </c>
      <c r="X234">
        <v>0.0</v>
      </c>
      <c r="Y234">
        <v>0.0</v>
      </c>
      <c r="Z234">
        <v>0.0</v>
      </c>
      <c r="AA234">
        <v>0.0</v>
      </c>
      <c r="AB234">
        <v>0.0</v>
      </c>
      <c r="AC234">
        <v>0.0</v>
      </c>
      <c r="AD234">
        <v>0.0</v>
      </c>
    </row>
    <row r="235" spans="1:33">
      <c r="A235" t="s">
        <v>694</v>
      </c>
      <c r="B235" t="s">
        <v>695</v>
      </c>
      <c r="C235" t="s">
        <v>618</v>
      </c>
      <c r="D235" t="s">
        <v>36</v>
      </c>
      <c r="E235" t="s">
        <v>37</v>
      </c>
      <c r="F235" t="s">
        <v>37</v>
      </c>
      <c r="G235" t="s">
        <v>37</v>
      </c>
      <c r="H235">
        <v>1</v>
      </c>
      <c r="J235" t="s">
        <v>619</v>
      </c>
      <c r="L235" t="s">
        <v>685</v>
      </c>
      <c r="M235">
        <v>1097.99</v>
      </c>
      <c r="W235">
        <v>0.0</v>
      </c>
      <c r="X235">
        <v>0.0</v>
      </c>
      <c r="Y235">
        <v>0.0</v>
      </c>
      <c r="Z235">
        <v>0.0</v>
      </c>
      <c r="AA235">
        <v>0.0</v>
      </c>
      <c r="AB235">
        <v>0.0</v>
      </c>
      <c r="AC235">
        <v>0.0</v>
      </c>
      <c r="AD235">
        <v>0.0</v>
      </c>
      <c r="AE235" t="s">
        <v>696</v>
      </c>
      <c r="AG235" t="str">
        <f>HYPERLINK("https://fwc26.smmarta.com/nomenclature/854/images-download", "Download")</f>
        <v>0</v>
      </c>
    </row>
    <row r="236" spans="1:33">
      <c r="A236" t="s">
        <v>697</v>
      </c>
      <c r="B236" t="s">
        <v>698</v>
      </c>
      <c r="C236" t="s">
        <v>618</v>
      </c>
      <c r="D236" t="s">
        <v>36</v>
      </c>
      <c r="E236" t="s">
        <v>37</v>
      </c>
      <c r="F236" t="s">
        <v>37</v>
      </c>
      <c r="G236" t="s">
        <v>37</v>
      </c>
      <c r="H236">
        <v>1</v>
      </c>
      <c r="J236" t="s">
        <v>619</v>
      </c>
      <c r="L236" t="s">
        <v>685</v>
      </c>
      <c r="M236">
        <v>1097.99</v>
      </c>
      <c r="W236">
        <v>0.0</v>
      </c>
      <c r="X236">
        <v>0.0</v>
      </c>
      <c r="Y236">
        <v>0.0</v>
      </c>
      <c r="Z236">
        <v>0.0</v>
      </c>
      <c r="AA236">
        <v>0.0</v>
      </c>
      <c r="AB236">
        <v>0.0</v>
      </c>
      <c r="AC236">
        <v>0.0</v>
      </c>
      <c r="AD236">
        <v>0.0</v>
      </c>
    </row>
    <row r="237" spans="1:33">
      <c r="A237" t="s">
        <v>699</v>
      </c>
      <c r="B237" t="s">
        <v>700</v>
      </c>
      <c r="C237" t="s">
        <v>618</v>
      </c>
      <c r="D237" t="s">
        <v>36</v>
      </c>
      <c r="E237" t="s">
        <v>37</v>
      </c>
      <c r="F237" t="s">
        <v>37</v>
      </c>
      <c r="G237" t="s">
        <v>37</v>
      </c>
      <c r="H237">
        <v>1</v>
      </c>
      <c r="J237" t="s">
        <v>619</v>
      </c>
      <c r="L237" t="s">
        <v>685</v>
      </c>
      <c r="M237">
        <v>1097.99</v>
      </c>
      <c r="W237">
        <v>0.0</v>
      </c>
      <c r="X237">
        <v>0.0</v>
      </c>
      <c r="Y237">
        <v>0.0</v>
      </c>
      <c r="Z237">
        <v>0.0</v>
      </c>
      <c r="AA237">
        <v>0.0</v>
      </c>
      <c r="AB237">
        <v>0.0</v>
      </c>
      <c r="AC237">
        <v>0.0</v>
      </c>
      <c r="AD237">
        <v>0.0</v>
      </c>
    </row>
    <row r="238" spans="1:33">
      <c r="A238" t="s">
        <v>701</v>
      </c>
      <c r="B238" t="s">
        <v>702</v>
      </c>
      <c r="C238" t="s">
        <v>618</v>
      </c>
      <c r="D238" t="s">
        <v>36</v>
      </c>
      <c r="E238" t="s">
        <v>37</v>
      </c>
      <c r="F238" t="s">
        <v>37</v>
      </c>
      <c r="G238" t="s">
        <v>37</v>
      </c>
      <c r="J238" t="s">
        <v>619</v>
      </c>
      <c r="M238">
        <v>1698</v>
      </c>
      <c r="W238">
        <v>0.0</v>
      </c>
      <c r="X238">
        <v>0.0</v>
      </c>
      <c r="Y238">
        <v>0.0</v>
      </c>
      <c r="Z238">
        <v>0.0</v>
      </c>
      <c r="AA238">
        <v>0.0</v>
      </c>
      <c r="AB238">
        <v>0.0</v>
      </c>
      <c r="AC238">
        <v>0.0</v>
      </c>
      <c r="AD238">
        <v>0.0</v>
      </c>
    </row>
    <row r="239" spans="1:33">
      <c r="A239" t="s">
        <v>703</v>
      </c>
      <c r="B239" t="s">
        <v>704</v>
      </c>
      <c r="C239" t="s">
        <v>618</v>
      </c>
      <c r="D239" t="s">
        <v>36</v>
      </c>
      <c r="E239" t="s">
        <v>37</v>
      </c>
      <c r="F239" t="s">
        <v>37</v>
      </c>
      <c r="G239" t="s">
        <v>37</v>
      </c>
      <c r="H239">
        <v>1</v>
      </c>
      <c r="J239" t="s">
        <v>619</v>
      </c>
      <c r="L239" t="s">
        <v>685</v>
      </c>
      <c r="M239">
        <v>1534.98</v>
      </c>
      <c r="W239">
        <v>0.0</v>
      </c>
      <c r="X239">
        <v>0.0</v>
      </c>
      <c r="Y239">
        <v>0.0</v>
      </c>
      <c r="Z239">
        <v>0.0</v>
      </c>
      <c r="AA239">
        <v>0.0</v>
      </c>
      <c r="AB239">
        <v>0.0</v>
      </c>
      <c r="AC239">
        <v>0.0</v>
      </c>
      <c r="AD239">
        <v>0.0</v>
      </c>
    </row>
    <row r="240" spans="1:33">
      <c r="A240" t="s">
        <v>705</v>
      </c>
      <c r="B240" t="s">
        <v>706</v>
      </c>
      <c r="C240" t="s">
        <v>618</v>
      </c>
      <c r="D240" t="s">
        <v>36</v>
      </c>
      <c r="E240" t="s">
        <v>37</v>
      </c>
      <c r="F240" t="s">
        <v>37</v>
      </c>
      <c r="G240" t="s">
        <v>37</v>
      </c>
      <c r="H240">
        <v>1</v>
      </c>
      <c r="J240" t="s">
        <v>619</v>
      </c>
      <c r="L240" t="s">
        <v>685</v>
      </c>
      <c r="M240">
        <v>1534.98</v>
      </c>
      <c r="W240">
        <v>0.0</v>
      </c>
      <c r="X240">
        <v>0.0</v>
      </c>
      <c r="Y240">
        <v>0.0</v>
      </c>
      <c r="Z240">
        <v>0.0</v>
      </c>
      <c r="AA240">
        <v>0.0</v>
      </c>
      <c r="AB240">
        <v>0.0</v>
      </c>
      <c r="AC240">
        <v>0.0</v>
      </c>
      <c r="AD240">
        <v>0.0</v>
      </c>
    </row>
    <row r="241" spans="1:33">
      <c r="A241" t="s">
        <v>707</v>
      </c>
      <c r="B241" t="s">
        <v>708</v>
      </c>
      <c r="C241" t="s">
        <v>618</v>
      </c>
      <c r="D241" t="s">
        <v>36</v>
      </c>
      <c r="E241" t="s">
        <v>37</v>
      </c>
      <c r="F241" t="s">
        <v>37</v>
      </c>
      <c r="G241" t="s">
        <v>37</v>
      </c>
      <c r="H241">
        <v>1</v>
      </c>
      <c r="J241" t="s">
        <v>619</v>
      </c>
      <c r="L241" t="s">
        <v>685</v>
      </c>
      <c r="M241">
        <v>1534.98</v>
      </c>
      <c r="W241">
        <v>0.0</v>
      </c>
      <c r="X241">
        <v>0.0</v>
      </c>
      <c r="Y241">
        <v>0.0</v>
      </c>
      <c r="Z241">
        <v>0.0</v>
      </c>
      <c r="AA241">
        <v>0.0</v>
      </c>
      <c r="AB241">
        <v>0.0</v>
      </c>
      <c r="AC241">
        <v>0.0</v>
      </c>
      <c r="AD241">
        <v>0.0</v>
      </c>
    </row>
    <row r="242" spans="1:33">
      <c r="A242" t="s">
        <v>709</v>
      </c>
      <c r="B242" t="s">
        <v>710</v>
      </c>
      <c r="C242" t="s">
        <v>618</v>
      </c>
      <c r="D242" t="s">
        <v>36</v>
      </c>
      <c r="E242" t="s">
        <v>37</v>
      </c>
      <c r="F242" t="s">
        <v>37</v>
      </c>
      <c r="G242" t="s">
        <v>37</v>
      </c>
      <c r="H242">
        <v>1</v>
      </c>
      <c r="J242" t="s">
        <v>619</v>
      </c>
      <c r="L242" t="s">
        <v>685</v>
      </c>
      <c r="M242">
        <v>1698</v>
      </c>
      <c r="W242">
        <v>0.0</v>
      </c>
      <c r="X242">
        <v>0.0</v>
      </c>
      <c r="Y242">
        <v>0.0</v>
      </c>
      <c r="Z242">
        <v>0.0</v>
      </c>
      <c r="AA242">
        <v>0.0</v>
      </c>
      <c r="AB242">
        <v>0.0</v>
      </c>
      <c r="AC242">
        <v>0.0</v>
      </c>
      <c r="AD242">
        <v>0.0</v>
      </c>
      <c r="AG242" t="str">
        <f>HYPERLINK("https://fwc26.smmarta.com/nomenclature/860/images-download", "Download")</f>
        <v>0</v>
      </c>
    </row>
    <row r="243" spans="1:33">
      <c r="A243" t="s">
        <v>711</v>
      </c>
      <c r="B243" t="s">
        <v>712</v>
      </c>
      <c r="C243" t="s">
        <v>618</v>
      </c>
      <c r="D243" t="s">
        <v>36</v>
      </c>
      <c r="E243" t="s">
        <v>37</v>
      </c>
      <c r="F243" t="s">
        <v>37</v>
      </c>
      <c r="G243" t="s">
        <v>37</v>
      </c>
      <c r="H243">
        <v>1</v>
      </c>
      <c r="J243" t="s">
        <v>619</v>
      </c>
      <c r="L243" t="s">
        <v>685</v>
      </c>
      <c r="M243">
        <v>1698</v>
      </c>
      <c r="W243">
        <v>0.0</v>
      </c>
      <c r="X243">
        <v>0.0</v>
      </c>
      <c r="Y243">
        <v>0.0</v>
      </c>
      <c r="Z243">
        <v>0.0</v>
      </c>
      <c r="AA243">
        <v>0.0</v>
      </c>
      <c r="AB243">
        <v>0.0</v>
      </c>
      <c r="AC243">
        <v>0.0</v>
      </c>
      <c r="AD243">
        <v>0.0</v>
      </c>
    </row>
    <row r="244" spans="1:33">
      <c r="A244" t="s">
        <v>713</v>
      </c>
      <c r="B244" t="s">
        <v>714</v>
      </c>
      <c r="C244" t="s">
        <v>618</v>
      </c>
      <c r="D244" t="s">
        <v>36</v>
      </c>
      <c r="E244" t="s">
        <v>37</v>
      </c>
      <c r="F244" t="s">
        <v>37</v>
      </c>
      <c r="G244" t="s">
        <v>37</v>
      </c>
      <c r="H244">
        <v>1</v>
      </c>
      <c r="J244" t="s">
        <v>619</v>
      </c>
      <c r="L244" t="s">
        <v>685</v>
      </c>
      <c r="M244">
        <v>1698</v>
      </c>
      <c r="W244">
        <v>0.0</v>
      </c>
      <c r="X244">
        <v>0.0</v>
      </c>
      <c r="Y244">
        <v>0.0</v>
      </c>
      <c r="Z244">
        <v>0.0</v>
      </c>
      <c r="AA244">
        <v>0.0</v>
      </c>
      <c r="AB244">
        <v>0.0</v>
      </c>
      <c r="AC244">
        <v>0.0</v>
      </c>
      <c r="AD244">
        <v>0.0</v>
      </c>
    </row>
    <row r="245" spans="1:33">
      <c r="A245" t="s">
        <v>715</v>
      </c>
      <c r="B245" t="s">
        <v>716</v>
      </c>
      <c r="C245" t="s">
        <v>618</v>
      </c>
      <c r="D245" t="s">
        <v>36</v>
      </c>
      <c r="E245" t="s">
        <v>37</v>
      </c>
      <c r="F245" t="s">
        <v>37</v>
      </c>
      <c r="G245" t="s">
        <v>37</v>
      </c>
      <c r="H245">
        <v>1</v>
      </c>
      <c r="J245" t="s">
        <v>619</v>
      </c>
      <c r="L245" t="s">
        <v>685</v>
      </c>
      <c r="M245">
        <v>1999</v>
      </c>
      <c r="W245">
        <v>0.0</v>
      </c>
      <c r="X245">
        <v>0.0</v>
      </c>
      <c r="Y245">
        <v>0.0</v>
      </c>
      <c r="Z245">
        <v>0.0</v>
      </c>
      <c r="AA245">
        <v>0.0</v>
      </c>
      <c r="AB245">
        <v>0.0</v>
      </c>
      <c r="AC245">
        <v>0.0</v>
      </c>
      <c r="AD245">
        <v>0.0</v>
      </c>
      <c r="AE245" t="s">
        <v>717</v>
      </c>
      <c r="AG245" t="str">
        <f>HYPERLINK("https://fwc26.smmarta.com/nomenclature/863/images-download", "Download")</f>
        <v>0</v>
      </c>
    </row>
    <row r="246" spans="1:33">
      <c r="A246" t="s">
        <v>718</v>
      </c>
      <c r="B246" t="s">
        <v>719</v>
      </c>
      <c r="C246" t="s">
        <v>618</v>
      </c>
      <c r="D246" t="s">
        <v>36</v>
      </c>
      <c r="E246" t="s">
        <v>37</v>
      </c>
      <c r="F246" t="s">
        <v>37</v>
      </c>
      <c r="G246" t="s">
        <v>37</v>
      </c>
      <c r="H246">
        <v>1</v>
      </c>
      <c r="J246" t="s">
        <v>619</v>
      </c>
      <c r="L246" t="s">
        <v>685</v>
      </c>
      <c r="M246">
        <v>1999</v>
      </c>
      <c r="W246">
        <v>0.0</v>
      </c>
      <c r="X246">
        <v>0.0</v>
      </c>
      <c r="Y246">
        <v>0.0</v>
      </c>
      <c r="Z246">
        <v>0.0</v>
      </c>
      <c r="AA246">
        <v>0.0</v>
      </c>
      <c r="AB246">
        <v>0.0</v>
      </c>
      <c r="AC246">
        <v>0.0</v>
      </c>
      <c r="AD246">
        <v>0.0</v>
      </c>
      <c r="AE246" t="s">
        <v>720</v>
      </c>
    </row>
    <row r="247" spans="1:33">
      <c r="A247" t="s">
        <v>721</v>
      </c>
      <c r="B247" t="s">
        <v>722</v>
      </c>
      <c r="C247" t="s">
        <v>618</v>
      </c>
      <c r="D247" t="s">
        <v>36</v>
      </c>
      <c r="E247" t="s">
        <v>37</v>
      </c>
      <c r="F247" t="s">
        <v>37</v>
      </c>
      <c r="G247" t="s">
        <v>37</v>
      </c>
      <c r="H247">
        <v>1</v>
      </c>
      <c r="J247" t="s">
        <v>619</v>
      </c>
      <c r="L247" t="s">
        <v>685</v>
      </c>
      <c r="M247">
        <v>1999</v>
      </c>
      <c r="W247">
        <v>0.0</v>
      </c>
      <c r="X247">
        <v>0.0</v>
      </c>
      <c r="Y247">
        <v>0.0</v>
      </c>
      <c r="Z247">
        <v>0.0</v>
      </c>
      <c r="AA247">
        <v>0.0</v>
      </c>
      <c r="AB247">
        <v>0.0</v>
      </c>
      <c r="AC247">
        <v>0.0</v>
      </c>
      <c r="AD247">
        <v>0.0</v>
      </c>
      <c r="AE247" t="s">
        <v>723</v>
      </c>
    </row>
    <row r="248" spans="1:33">
      <c r="A248" t="s">
        <v>724</v>
      </c>
      <c r="B248" t="s">
        <v>725</v>
      </c>
      <c r="C248" t="s">
        <v>618</v>
      </c>
      <c r="D248" t="s">
        <v>36</v>
      </c>
      <c r="E248" t="s">
        <v>37</v>
      </c>
      <c r="F248" t="s">
        <v>37</v>
      </c>
      <c r="G248" t="s">
        <v>37</v>
      </c>
      <c r="H248">
        <v>1</v>
      </c>
      <c r="J248" t="s">
        <v>619</v>
      </c>
      <c r="L248" t="s">
        <v>685</v>
      </c>
      <c r="M248">
        <v>99.99</v>
      </c>
      <c r="W248">
        <v>0.0</v>
      </c>
      <c r="X248">
        <v>0.0</v>
      </c>
      <c r="Y248">
        <v>0.0</v>
      </c>
      <c r="Z248">
        <v>0.0</v>
      </c>
      <c r="AA248">
        <v>0.0</v>
      </c>
      <c r="AB248">
        <v>0.0</v>
      </c>
      <c r="AC248">
        <v>0.0</v>
      </c>
      <c r="AD248">
        <v>0.0</v>
      </c>
      <c r="AE248" t="s">
        <v>726</v>
      </c>
    </row>
    <row r="249" spans="1:33">
      <c r="A249" t="s">
        <v>727</v>
      </c>
      <c r="B249" t="s">
        <v>728</v>
      </c>
      <c r="C249" t="s">
        <v>618</v>
      </c>
      <c r="D249" t="s">
        <v>36</v>
      </c>
      <c r="E249" t="s">
        <v>37</v>
      </c>
      <c r="F249" t="s">
        <v>37</v>
      </c>
      <c r="G249" t="s">
        <v>37</v>
      </c>
      <c r="H249">
        <v>1</v>
      </c>
      <c r="J249" t="s">
        <v>619</v>
      </c>
      <c r="L249" t="s">
        <v>685</v>
      </c>
      <c r="M249">
        <v>4999.99</v>
      </c>
      <c r="W249">
        <v>0.0</v>
      </c>
      <c r="X249">
        <v>0.0</v>
      </c>
      <c r="Y249">
        <v>0.0</v>
      </c>
      <c r="Z249">
        <v>0.0</v>
      </c>
      <c r="AA249">
        <v>0.0</v>
      </c>
      <c r="AB249">
        <v>0.0</v>
      </c>
      <c r="AC249">
        <v>0.0</v>
      </c>
      <c r="AD249">
        <v>0.0</v>
      </c>
      <c r="AE249" t="s">
        <v>729</v>
      </c>
      <c r="AG249" t="str">
        <f>HYPERLINK("https://fwc26.smmarta.com/nomenclature/867/images-download", "Download")</f>
        <v>0</v>
      </c>
    </row>
    <row r="250" spans="1:33">
      <c r="A250" t="s">
        <v>730</v>
      </c>
      <c r="B250" t="s">
        <v>731</v>
      </c>
      <c r="C250" t="s">
        <v>618</v>
      </c>
      <c r="D250" t="s">
        <v>36</v>
      </c>
      <c r="E250" t="s">
        <v>37</v>
      </c>
      <c r="F250" t="s">
        <v>37</v>
      </c>
      <c r="G250" t="s">
        <v>37</v>
      </c>
      <c r="H250">
        <v>1</v>
      </c>
      <c r="J250" t="s">
        <v>619</v>
      </c>
      <c r="L250" t="s">
        <v>685</v>
      </c>
      <c r="M250">
        <v>4999.97</v>
      </c>
      <c r="W250">
        <v>0.0</v>
      </c>
      <c r="X250">
        <v>0.0</v>
      </c>
      <c r="Y250">
        <v>0.0</v>
      </c>
      <c r="Z250">
        <v>0.0</v>
      </c>
      <c r="AA250">
        <v>0.0</v>
      </c>
      <c r="AB250">
        <v>0.0</v>
      </c>
      <c r="AC250">
        <v>0.0</v>
      </c>
      <c r="AD250">
        <v>0.0</v>
      </c>
      <c r="AE250" t="s">
        <v>732</v>
      </c>
      <c r="AG250" t="str">
        <f>HYPERLINK("https://fwc26.smmarta.com/nomenclature/868/images-download", "Download")</f>
        <v>0</v>
      </c>
    </row>
    <row r="251" spans="1:33">
      <c r="A251" t="s">
        <v>733</v>
      </c>
      <c r="B251" t="s">
        <v>734</v>
      </c>
      <c r="C251" t="s">
        <v>618</v>
      </c>
      <c r="D251" t="s">
        <v>36</v>
      </c>
      <c r="E251" t="s">
        <v>37</v>
      </c>
      <c r="F251" t="s">
        <v>37</v>
      </c>
      <c r="G251" t="s">
        <v>37</v>
      </c>
      <c r="H251">
        <v>1</v>
      </c>
      <c r="J251" t="s">
        <v>619</v>
      </c>
      <c r="L251" t="s">
        <v>685</v>
      </c>
      <c r="M251">
        <v>1299.99</v>
      </c>
      <c r="W251">
        <v>0.0</v>
      </c>
      <c r="X251">
        <v>0.0</v>
      </c>
      <c r="Y251">
        <v>0.0</v>
      </c>
      <c r="Z251">
        <v>0.0</v>
      </c>
      <c r="AA251">
        <v>0.0</v>
      </c>
      <c r="AB251">
        <v>0.0</v>
      </c>
      <c r="AC251">
        <v>0.0</v>
      </c>
      <c r="AD251">
        <v>0.0</v>
      </c>
      <c r="AE251" t="s">
        <v>735</v>
      </c>
    </row>
    <row r="252" spans="1:33">
      <c r="A252" t="s">
        <v>736</v>
      </c>
      <c r="B252" t="s">
        <v>737</v>
      </c>
      <c r="C252" t="s">
        <v>618</v>
      </c>
      <c r="D252" t="s">
        <v>36</v>
      </c>
      <c r="E252" t="s">
        <v>37</v>
      </c>
      <c r="F252" t="s">
        <v>37</v>
      </c>
      <c r="G252" t="s">
        <v>37</v>
      </c>
      <c r="H252">
        <v>1</v>
      </c>
      <c r="J252" t="s">
        <v>619</v>
      </c>
      <c r="L252" t="s">
        <v>685</v>
      </c>
      <c r="M252">
        <v>1299.99</v>
      </c>
      <c r="W252">
        <v>0.0</v>
      </c>
      <c r="X252">
        <v>0.0</v>
      </c>
      <c r="Y252">
        <v>0.0</v>
      </c>
      <c r="Z252">
        <v>0.0</v>
      </c>
      <c r="AA252">
        <v>0.0</v>
      </c>
      <c r="AB252">
        <v>0.0</v>
      </c>
      <c r="AC252">
        <v>0.0</v>
      </c>
      <c r="AD252">
        <v>0.0</v>
      </c>
      <c r="AE252" t="s">
        <v>738</v>
      </c>
      <c r="AG252" t="str">
        <f>HYPERLINK("https://fwc26.smmarta.com/nomenclature/870/images-download", "Download")</f>
        <v>0</v>
      </c>
    </row>
    <row r="253" spans="1:33">
      <c r="A253" t="s">
        <v>739</v>
      </c>
      <c r="B253" t="s">
        <v>740</v>
      </c>
      <c r="C253" t="s">
        <v>618</v>
      </c>
      <c r="D253" t="s">
        <v>36</v>
      </c>
      <c r="E253" t="s">
        <v>37</v>
      </c>
      <c r="F253" t="s">
        <v>37</v>
      </c>
      <c r="G253" t="s">
        <v>37</v>
      </c>
      <c r="H253">
        <v>1</v>
      </c>
      <c r="J253" t="s">
        <v>619</v>
      </c>
      <c r="M253">
        <v>1299.99</v>
      </c>
      <c r="W253">
        <v>0.0</v>
      </c>
      <c r="X253">
        <v>0.0</v>
      </c>
      <c r="Y253">
        <v>0.0</v>
      </c>
      <c r="Z253">
        <v>0.0</v>
      </c>
      <c r="AA253">
        <v>0.0</v>
      </c>
      <c r="AB253">
        <v>0.0</v>
      </c>
      <c r="AC253">
        <v>0.0</v>
      </c>
      <c r="AD253">
        <v>0.0</v>
      </c>
    </row>
    <row r="254" spans="1:33">
      <c r="A254" t="s">
        <v>741</v>
      </c>
      <c r="B254" t="s">
        <v>742</v>
      </c>
      <c r="C254" t="s">
        <v>618</v>
      </c>
      <c r="D254" t="s">
        <v>36</v>
      </c>
      <c r="E254" t="s">
        <v>37</v>
      </c>
      <c r="F254" t="s">
        <v>37</v>
      </c>
      <c r="G254" t="s">
        <v>37</v>
      </c>
      <c r="H254">
        <v>1</v>
      </c>
      <c r="J254" t="s">
        <v>619</v>
      </c>
      <c r="L254" t="s">
        <v>743</v>
      </c>
      <c r="M254">
        <v>232.3</v>
      </c>
      <c r="W254">
        <v>0.0</v>
      </c>
      <c r="X254">
        <v>0.0</v>
      </c>
      <c r="Y254">
        <v>0.0</v>
      </c>
      <c r="Z254">
        <v>0.0</v>
      </c>
      <c r="AA254">
        <v>0.0</v>
      </c>
      <c r="AB254">
        <v>0.0</v>
      </c>
      <c r="AC254">
        <v>0.0</v>
      </c>
      <c r="AD254">
        <v>0.0</v>
      </c>
      <c r="AE254" t="s">
        <v>744</v>
      </c>
      <c r="AG254" t="str">
        <f>HYPERLINK("https://fwc26.smmarta.com/nomenclature/872/images-download", "Download")</f>
        <v>0</v>
      </c>
    </row>
    <row r="255" spans="1:33">
      <c r="A255" t="s">
        <v>745</v>
      </c>
      <c r="B255" t="s">
        <v>746</v>
      </c>
      <c r="C255" t="s">
        <v>618</v>
      </c>
      <c r="D255" t="s">
        <v>36</v>
      </c>
      <c r="E255" t="s">
        <v>37</v>
      </c>
      <c r="F255" t="s">
        <v>37</v>
      </c>
      <c r="G255" t="s">
        <v>37</v>
      </c>
      <c r="H255">
        <v>1</v>
      </c>
      <c r="J255" t="s">
        <v>619</v>
      </c>
      <c r="L255" t="s">
        <v>747</v>
      </c>
      <c r="M255">
        <v>100</v>
      </c>
      <c r="W255">
        <v>0.0</v>
      </c>
      <c r="X255">
        <v>0.0</v>
      </c>
      <c r="Y255">
        <v>0.0</v>
      </c>
      <c r="Z255">
        <v>0.0</v>
      </c>
      <c r="AA255">
        <v>0.0</v>
      </c>
      <c r="AB255">
        <v>0.0</v>
      </c>
      <c r="AC255">
        <v>0.0</v>
      </c>
      <c r="AD255">
        <v>0.0</v>
      </c>
      <c r="AG255" t="str">
        <f>HYPERLINK("https://fwc26.smmarta.com/nomenclature/873/images-download", "Download")</f>
        <v>0</v>
      </c>
    </row>
    <row r="256" spans="1:33">
      <c r="A256" t="s">
        <v>748</v>
      </c>
      <c r="B256" t="s">
        <v>749</v>
      </c>
      <c r="C256" t="s">
        <v>618</v>
      </c>
      <c r="D256" t="s">
        <v>36</v>
      </c>
      <c r="E256" t="s">
        <v>37</v>
      </c>
      <c r="F256" t="s">
        <v>37</v>
      </c>
      <c r="G256" t="s">
        <v>37</v>
      </c>
      <c r="J256" t="s">
        <v>619</v>
      </c>
      <c r="M256">
        <v>50</v>
      </c>
      <c r="W256">
        <v>0.0</v>
      </c>
      <c r="X256">
        <v>0.0</v>
      </c>
      <c r="Y256">
        <v>0.0</v>
      </c>
      <c r="Z256">
        <v>0.0</v>
      </c>
      <c r="AA256">
        <v>0.0</v>
      </c>
      <c r="AB256">
        <v>0.0</v>
      </c>
      <c r="AC256">
        <v>0.0</v>
      </c>
      <c r="AD256">
        <v>0.0</v>
      </c>
    </row>
    <row r="257" spans="1:33">
      <c r="A257" t="s">
        <v>750</v>
      </c>
      <c r="B257" t="s">
        <v>751</v>
      </c>
      <c r="C257" t="s">
        <v>618</v>
      </c>
      <c r="D257" t="s">
        <v>36</v>
      </c>
      <c r="E257" t="s">
        <v>37</v>
      </c>
      <c r="F257" t="s">
        <v>37</v>
      </c>
      <c r="G257" t="s">
        <v>37</v>
      </c>
      <c r="J257" t="s">
        <v>619</v>
      </c>
      <c r="M257">
        <v>50</v>
      </c>
      <c r="W257">
        <v>0.0</v>
      </c>
      <c r="X257">
        <v>0.0</v>
      </c>
      <c r="Y257">
        <v>0.0</v>
      </c>
      <c r="Z257">
        <v>0.0</v>
      </c>
      <c r="AA257">
        <v>0.0</v>
      </c>
      <c r="AB257">
        <v>0.0</v>
      </c>
      <c r="AC257">
        <v>0.0</v>
      </c>
      <c r="AD257">
        <v>0.0</v>
      </c>
    </row>
    <row r="258" spans="1:33">
      <c r="A258" t="s">
        <v>752</v>
      </c>
      <c r="B258" t="s">
        <v>753</v>
      </c>
      <c r="C258" t="s">
        <v>618</v>
      </c>
      <c r="D258" t="s">
        <v>36</v>
      </c>
      <c r="E258" t="s">
        <v>37</v>
      </c>
      <c r="F258" t="s">
        <v>37</v>
      </c>
      <c r="G258" t="s">
        <v>37</v>
      </c>
      <c r="H258">
        <v>1</v>
      </c>
      <c r="J258" t="s">
        <v>619</v>
      </c>
      <c r="L258" t="s">
        <v>747</v>
      </c>
      <c r="M258">
        <v>100</v>
      </c>
      <c r="W258">
        <v>0.0</v>
      </c>
      <c r="X258">
        <v>0.0</v>
      </c>
      <c r="Y258">
        <v>0.0</v>
      </c>
      <c r="Z258">
        <v>0.0</v>
      </c>
      <c r="AA258">
        <v>0.0</v>
      </c>
      <c r="AB258">
        <v>0.0</v>
      </c>
      <c r="AC258">
        <v>0.0</v>
      </c>
      <c r="AD258">
        <v>0.0</v>
      </c>
    </row>
    <row r="259" spans="1:33">
      <c r="A259" t="s">
        <v>754</v>
      </c>
      <c r="B259" t="s">
        <v>755</v>
      </c>
      <c r="C259" t="s">
        <v>618</v>
      </c>
      <c r="D259" t="s">
        <v>641</v>
      </c>
      <c r="E259" t="s">
        <v>37</v>
      </c>
      <c r="F259" t="s">
        <v>37</v>
      </c>
      <c r="G259" t="s">
        <v>37</v>
      </c>
      <c r="J259" t="s">
        <v>619</v>
      </c>
      <c r="L259" t="s">
        <v>756</v>
      </c>
      <c r="M259">
        <v>268.76</v>
      </c>
      <c r="W259">
        <v>0.0</v>
      </c>
      <c r="X259">
        <v>0.0</v>
      </c>
      <c r="Y259">
        <v>0.0</v>
      </c>
      <c r="Z259">
        <v>0.0</v>
      </c>
      <c r="AA259">
        <v>0.0</v>
      </c>
      <c r="AB259">
        <v>0.0</v>
      </c>
      <c r="AC259">
        <v>0.0</v>
      </c>
      <c r="AD259">
        <v>0.0</v>
      </c>
      <c r="AE259" t="s">
        <v>757</v>
      </c>
    </row>
    <row r="260" spans="1:33">
      <c r="A260" t="s">
        <v>758</v>
      </c>
      <c r="B260" t="s">
        <v>759</v>
      </c>
      <c r="C260" t="s">
        <v>618</v>
      </c>
      <c r="D260" t="s">
        <v>36</v>
      </c>
      <c r="E260" t="s">
        <v>37</v>
      </c>
      <c r="F260" t="s">
        <v>37</v>
      </c>
      <c r="G260" t="s">
        <v>37</v>
      </c>
      <c r="H260">
        <v>1</v>
      </c>
      <c r="J260" t="s">
        <v>619</v>
      </c>
      <c r="L260" t="s">
        <v>743</v>
      </c>
      <c r="M260">
        <v>10</v>
      </c>
      <c r="W260">
        <v>0.0</v>
      </c>
      <c r="X260">
        <v>0.0</v>
      </c>
      <c r="Y260">
        <v>0.0</v>
      </c>
      <c r="Z260">
        <v>0.0</v>
      </c>
      <c r="AA260">
        <v>0.0</v>
      </c>
      <c r="AB260">
        <v>0.0</v>
      </c>
      <c r="AC260">
        <v>0.0</v>
      </c>
      <c r="AD260">
        <v>0.0</v>
      </c>
      <c r="AE260" t="s">
        <v>760</v>
      </c>
      <c r="AG260" t="str">
        <f>HYPERLINK("https://fwc26.smmarta.com/nomenclature/878/images-download", "Download")</f>
        <v>0</v>
      </c>
    </row>
    <row r="261" spans="1:33">
      <c r="A261" t="s">
        <v>761</v>
      </c>
      <c r="B261" t="s">
        <v>762</v>
      </c>
      <c r="C261" t="s">
        <v>618</v>
      </c>
      <c r="D261" t="s">
        <v>36</v>
      </c>
      <c r="E261" t="s">
        <v>37</v>
      </c>
      <c r="F261" t="s">
        <v>37</v>
      </c>
      <c r="G261" t="s">
        <v>37</v>
      </c>
      <c r="J261" t="s">
        <v>619</v>
      </c>
      <c r="M261">
        <v>25</v>
      </c>
      <c r="W261">
        <v>0.0</v>
      </c>
      <c r="X261">
        <v>0.0</v>
      </c>
      <c r="Y261">
        <v>0.0</v>
      </c>
      <c r="Z261">
        <v>0.0</v>
      </c>
      <c r="AA261">
        <v>0.0</v>
      </c>
      <c r="AB261">
        <v>0.0</v>
      </c>
      <c r="AC261">
        <v>0.0</v>
      </c>
      <c r="AD261">
        <v>0.0</v>
      </c>
    </row>
    <row r="262" spans="1:33">
      <c r="A262" t="s">
        <v>763</v>
      </c>
      <c r="B262" t="s">
        <v>764</v>
      </c>
      <c r="C262" t="s">
        <v>618</v>
      </c>
      <c r="D262" t="s">
        <v>36</v>
      </c>
      <c r="E262" t="s">
        <v>37</v>
      </c>
      <c r="F262" t="s">
        <v>37</v>
      </c>
      <c r="G262" t="s">
        <v>37</v>
      </c>
      <c r="J262" t="s">
        <v>619</v>
      </c>
      <c r="M262">
        <v>500</v>
      </c>
      <c r="W262">
        <v>0.0</v>
      </c>
      <c r="X262">
        <v>0.0</v>
      </c>
      <c r="Y262">
        <v>0.0</v>
      </c>
      <c r="Z262">
        <v>0.0</v>
      </c>
      <c r="AA262">
        <v>0.0</v>
      </c>
      <c r="AB262">
        <v>0.0</v>
      </c>
      <c r="AC262">
        <v>0.0</v>
      </c>
      <c r="AD262">
        <v>0.0</v>
      </c>
    </row>
    <row r="263" spans="1:33">
      <c r="A263" t="s">
        <v>765</v>
      </c>
      <c r="B263" t="s">
        <v>766</v>
      </c>
      <c r="C263" t="s">
        <v>618</v>
      </c>
      <c r="D263" t="s">
        <v>36</v>
      </c>
      <c r="E263" t="s">
        <v>37</v>
      </c>
      <c r="F263" t="s">
        <v>37</v>
      </c>
      <c r="G263" t="s">
        <v>37</v>
      </c>
      <c r="J263" t="s">
        <v>619</v>
      </c>
      <c r="M263">
        <v>200</v>
      </c>
      <c r="W263">
        <v>0.0</v>
      </c>
      <c r="X263">
        <v>0.0</v>
      </c>
      <c r="Y263">
        <v>0.0</v>
      </c>
      <c r="Z263">
        <v>0.0</v>
      </c>
      <c r="AA263">
        <v>0.0</v>
      </c>
      <c r="AB263">
        <v>0.0</v>
      </c>
      <c r="AC263">
        <v>0.0</v>
      </c>
      <c r="AD263">
        <v>0.0</v>
      </c>
    </row>
    <row r="264" spans="1:33">
      <c r="A264" t="s">
        <v>767</v>
      </c>
      <c r="B264" t="s">
        <v>768</v>
      </c>
      <c r="C264" t="s">
        <v>618</v>
      </c>
      <c r="D264" t="s">
        <v>36</v>
      </c>
      <c r="E264" t="s">
        <v>37</v>
      </c>
      <c r="F264" t="s">
        <v>37</v>
      </c>
      <c r="G264" t="s">
        <v>37</v>
      </c>
      <c r="J264" t="s">
        <v>619</v>
      </c>
      <c r="M264">
        <v>250</v>
      </c>
      <c r="W264">
        <v>0.0</v>
      </c>
      <c r="X264">
        <v>0.0</v>
      </c>
      <c r="Y264">
        <v>0.0</v>
      </c>
      <c r="Z264">
        <v>0.0</v>
      </c>
      <c r="AA264">
        <v>0.0</v>
      </c>
      <c r="AB264">
        <v>0.0</v>
      </c>
      <c r="AC264">
        <v>0.0</v>
      </c>
      <c r="AD264">
        <v>0.0</v>
      </c>
    </row>
    <row r="265" spans="1:33">
      <c r="A265" t="s">
        <v>769</v>
      </c>
      <c r="B265" t="s">
        <v>770</v>
      </c>
      <c r="C265" t="s">
        <v>618</v>
      </c>
      <c r="D265" t="s">
        <v>36</v>
      </c>
      <c r="E265" t="s">
        <v>37</v>
      </c>
      <c r="F265" t="s">
        <v>37</v>
      </c>
      <c r="G265" t="s">
        <v>37</v>
      </c>
      <c r="J265" t="s">
        <v>619</v>
      </c>
      <c r="M265">
        <v>25</v>
      </c>
      <c r="W265">
        <v>0.0</v>
      </c>
      <c r="X265">
        <v>0.0</v>
      </c>
      <c r="Y265">
        <v>0.0</v>
      </c>
      <c r="Z265">
        <v>0.0</v>
      </c>
      <c r="AA265">
        <v>0.0</v>
      </c>
      <c r="AB265">
        <v>0.0</v>
      </c>
      <c r="AC265">
        <v>0.0</v>
      </c>
      <c r="AD265">
        <v>0.0</v>
      </c>
    </row>
    <row r="266" spans="1:33">
      <c r="A266" t="s">
        <v>771</v>
      </c>
      <c r="B266" t="s">
        <v>772</v>
      </c>
      <c r="C266" t="s">
        <v>618</v>
      </c>
      <c r="D266" t="s">
        <v>36</v>
      </c>
      <c r="E266" t="s">
        <v>37</v>
      </c>
      <c r="F266" t="s">
        <v>37</v>
      </c>
      <c r="G266" t="s">
        <v>37</v>
      </c>
      <c r="J266" t="s">
        <v>619</v>
      </c>
      <c r="M266">
        <v>50</v>
      </c>
      <c r="W266">
        <v>0.0</v>
      </c>
      <c r="X266">
        <v>0.0</v>
      </c>
      <c r="Y266">
        <v>0.0</v>
      </c>
      <c r="Z266">
        <v>0.0</v>
      </c>
      <c r="AA266">
        <v>0.0</v>
      </c>
      <c r="AB266">
        <v>0.0</v>
      </c>
      <c r="AC266">
        <v>0.0</v>
      </c>
      <c r="AD266">
        <v>0.0</v>
      </c>
    </row>
    <row r="267" spans="1:33">
      <c r="A267" t="s">
        <v>773</v>
      </c>
      <c r="B267" t="s">
        <v>774</v>
      </c>
      <c r="C267" t="s">
        <v>618</v>
      </c>
      <c r="D267" t="s">
        <v>36</v>
      </c>
      <c r="E267" t="s">
        <v>37</v>
      </c>
      <c r="F267" t="s">
        <v>37</v>
      </c>
      <c r="G267" t="s">
        <v>37</v>
      </c>
      <c r="J267" t="s">
        <v>619</v>
      </c>
      <c r="M267">
        <v>199</v>
      </c>
      <c r="W267">
        <v>0.0</v>
      </c>
      <c r="X267">
        <v>0.0</v>
      </c>
      <c r="Y267">
        <v>0.0</v>
      </c>
      <c r="Z267">
        <v>0.0</v>
      </c>
      <c r="AA267">
        <v>0.0</v>
      </c>
      <c r="AB267">
        <v>0.0</v>
      </c>
      <c r="AC267">
        <v>0.0</v>
      </c>
      <c r="AD267">
        <v>0.0</v>
      </c>
    </row>
    <row r="268" spans="1:33">
      <c r="A268" t="s">
        <v>775</v>
      </c>
      <c r="B268" t="s">
        <v>776</v>
      </c>
      <c r="C268" t="s">
        <v>618</v>
      </c>
      <c r="D268" t="s">
        <v>36</v>
      </c>
      <c r="E268" t="s">
        <v>37</v>
      </c>
      <c r="F268" t="s">
        <v>37</v>
      </c>
      <c r="G268" t="s">
        <v>37</v>
      </c>
      <c r="J268" t="s">
        <v>619</v>
      </c>
      <c r="M268">
        <v>69</v>
      </c>
      <c r="W268">
        <v>0.0</v>
      </c>
      <c r="X268">
        <v>0.0</v>
      </c>
      <c r="Y268">
        <v>0.0</v>
      </c>
      <c r="Z268">
        <v>0.0</v>
      </c>
      <c r="AA268">
        <v>0.0</v>
      </c>
      <c r="AB268">
        <v>0.0</v>
      </c>
      <c r="AC268">
        <v>0.0</v>
      </c>
      <c r="AD268">
        <v>0.0</v>
      </c>
    </row>
    <row r="269" spans="1:33">
      <c r="A269" t="s">
        <v>777</v>
      </c>
      <c r="B269" t="s">
        <v>778</v>
      </c>
      <c r="C269" t="s">
        <v>618</v>
      </c>
      <c r="D269" t="s">
        <v>36</v>
      </c>
      <c r="E269" t="s">
        <v>37</v>
      </c>
      <c r="F269" t="s">
        <v>37</v>
      </c>
      <c r="G269" t="s">
        <v>37</v>
      </c>
      <c r="J269" t="s">
        <v>619</v>
      </c>
      <c r="M269">
        <v>990</v>
      </c>
      <c r="W269">
        <v>0.0</v>
      </c>
      <c r="X269">
        <v>0.0</v>
      </c>
      <c r="Y269">
        <v>0.0</v>
      </c>
      <c r="Z269">
        <v>0.0</v>
      </c>
      <c r="AA269">
        <v>0.0</v>
      </c>
      <c r="AB269">
        <v>0.0</v>
      </c>
      <c r="AC269">
        <v>0.0</v>
      </c>
      <c r="AD269">
        <v>0.0</v>
      </c>
    </row>
    <row r="270" spans="1:33">
      <c r="A270" t="s">
        <v>779</v>
      </c>
      <c r="B270" t="s">
        <v>780</v>
      </c>
      <c r="C270" t="s">
        <v>618</v>
      </c>
      <c r="D270" t="s">
        <v>36</v>
      </c>
      <c r="E270" t="s">
        <v>37</v>
      </c>
      <c r="F270" t="s">
        <v>37</v>
      </c>
      <c r="G270" t="s">
        <v>37</v>
      </c>
      <c r="J270" t="s">
        <v>619</v>
      </c>
      <c r="M270">
        <v>50</v>
      </c>
      <c r="W270">
        <v>0.0</v>
      </c>
      <c r="X270">
        <v>0.0</v>
      </c>
      <c r="Y270">
        <v>0.0</v>
      </c>
      <c r="Z270">
        <v>0.0</v>
      </c>
      <c r="AA270">
        <v>0.0</v>
      </c>
      <c r="AB270">
        <v>0.0</v>
      </c>
      <c r="AC270">
        <v>0.0</v>
      </c>
      <c r="AD270">
        <v>0.0</v>
      </c>
    </row>
    <row r="271" spans="1:33">
      <c r="A271" t="s">
        <v>781</v>
      </c>
      <c r="B271" t="s">
        <v>782</v>
      </c>
      <c r="C271" t="s">
        <v>618</v>
      </c>
      <c r="D271" t="s">
        <v>36</v>
      </c>
      <c r="E271" t="s">
        <v>37</v>
      </c>
      <c r="F271" t="s">
        <v>37</v>
      </c>
      <c r="G271" t="s">
        <v>37</v>
      </c>
      <c r="H271">
        <v>1</v>
      </c>
      <c r="J271" t="s">
        <v>619</v>
      </c>
      <c r="L271" t="s">
        <v>743</v>
      </c>
      <c r="M271">
        <v>135</v>
      </c>
      <c r="W271">
        <v>0.0</v>
      </c>
      <c r="X271">
        <v>0.0</v>
      </c>
      <c r="Y271">
        <v>0.0</v>
      </c>
      <c r="Z271">
        <v>0.0</v>
      </c>
      <c r="AA271">
        <v>0.0</v>
      </c>
      <c r="AB271">
        <v>0.0</v>
      </c>
      <c r="AC271">
        <v>0.0</v>
      </c>
      <c r="AD271">
        <v>0.0</v>
      </c>
    </row>
    <row r="272" spans="1:33">
      <c r="A272" t="s">
        <v>783</v>
      </c>
      <c r="B272" t="s">
        <v>784</v>
      </c>
      <c r="C272" t="s">
        <v>618</v>
      </c>
      <c r="D272" t="s">
        <v>36</v>
      </c>
      <c r="E272" t="s">
        <v>37</v>
      </c>
      <c r="F272" t="s">
        <v>37</v>
      </c>
      <c r="G272" t="s">
        <v>37</v>
      </c>
      <c r="J272" t="s">
        <v>619</v>
      </c>
      <c r="M272">
        <v>50</v>
      </c>
      <c r="W272">
        <v>0.0</v>
      </c>
      <c r="X272">
        <v>0.0</v>
      </c>
      <c r="Y272">
        <v>0.0</v>
      </c>
      <c r="Z272">
        <v>0.0</v>
      </c>
      <c r="AA272">
        <v>0.0</v>
      </c>
      <c r="AB272">
        <v>0.0</v>
      </c>
      <c r="AC272">
        <v>0.0</v>
      </c>
      <c r="AD272">
        <v>0.0</v>
      </c>
    </row>
    <row r="273" spans="1:33">
      <c r="A273" t="s">
        <v>785</v>
      </c>
      <c r="B273" t="s">
        <v>786</v>
      </c>
      <c r="C273" t="s">
        <v>618</v>
      </c>
      <c r="D273" t="s">
        <v>36</v>
      </c>
      <c r="E273" t="s">
        <v>37</v>
      </c>
      <c r="F273" t="s">
        <v>37</v>
      </c>
      <c r="G273" t="s">
        <v>37</v>
      </c>
      <c r="J273" t="s">
        <v>619</v>
      </c>
      <c r="M273">
        <v>50</v>
      </c>
      <c r="W273">
        <v>0.0</v>
      </c>
      <c r="X273">
        <v>0.0</v>
      </c>
      <c r="Y273">
        <v>0.0</v>
      </c>
      <c r="Z273">
        <v>0.0</v>
      </c>
      <c r="AA273">
        <v>0.0</v>
      </c>
      <c r="AB273">
        <v>0.0</v>
      </c>
      <c r="AC273">
        <v>0.0</v>
      </c>
      <c r="AD273">
        <v>0.0</v>
      </c>
    </row>
    <row r="274" spans="1:33">
      <c r="A274" t="s">
        <v>787</v>
      </c>
      <c r="B274" t="s">
        <v>788</v>
      </c>
      <c r="C274" t="s">
        <v>618</v>
      </c>
      <c r="D274" t="s">
        <v>36</v>
      </c>
      <c r="E274" t="s">
        <v>37</v>
      </c>
      <c r="F274" t="s">
        <v>37</v>
      </c>
      <c r="G274" t="s">
        <v>37</v>
      </c>
      <c r="J274" t="s">
        <v>619</v>
      </c>
      <c r="M274">
        <v>50</v>
      </c>
      <c r="W274">
        <v>0.0</v>
      </c>
      <c r="X274">
        <v>0.0</v>
      </c>
      <c r="Y274">
        <v>0.0</v>
      </c>
      <c r="Z274">
        <v>0.0</v>
      </c>
      <c r="AA274">
        <v>0.0</v>
      </c>
      <c r="AB274">
        <v>0.0</v>
      </c>
      <c r="AC274">
        <v>0.0</v>
      </c>
      <c r="AD274">
        <v>0.0</v>
      </c>
    </row>
    <row r="275" spans="1:33">
      <c r="A275" t="s">
        <v>789</v>
      </c>
      <c r="B275" t="s">
        <v>790</v>
      </c>
      <c r="C275" t="s">
        <v>618</v>
      </c>
      <c r="D275" t="s">
        <v>36</v>
      </c>
      <c r="E275" t="s">
        <v>37</v>
      </c>
      <c r="F275" t="s">
        <v>37</v>
      </c>
      <c r="G275" t="s">
        <v>37</v>
      </c>
      <c r="J275" t="s">
        <v>619</v>
      </c>
      <c r="M275">
        <v>10</v>
      </c>
      <c r="W275">
        <v>0.0</v>
      </c>
      <c r="X275">
        <v>0.0</v>
      </c>
      <c r="Y275">
        <v>0.0</v>
      </c>
      <c r="Z275">
        <v>0.0</v>
      </c>
      <c r="AA275">
        <v>0.0</v>
      </c>
      <c r="AB275">
        <v>0.0</v>
      </c>
      <c r="AC275">
        <v>0.0</v>
      </c>
      <c r="AD275">
        <v>0.0</v>
      </c>
    </row>
    <row r="276" spans="1:33">
      <c r="A276" t="s">
        <v>791</v>
      </c>
      <c r="B276" t="s">
        <v>792</v>
      </c>
      <c r="C276" t="s">
        <v>618</v>
      </c>
      <c r="D276" t="s">
        <v>36</v>
      </c>
      <c r="E276" t="s">
        <v>37</v>
      </c>
      <c r="F276" t="s">
        <v>37</v>
      </c>
      <c r="G276" t="s">
        <v>37</v>
      </c>
      <c r="J276" t="s">
        <v>619</v>
      </c>
      <c r="M276">
        <v>100</v>
      </c>
      <c r="W276">
        <v>0.0</v>
      </c>
      <c r="X276">
        <v>0.0</v>
      </c>
      <c r="Y276">
        <v>0.0</v>
      </c>
      <c r="Z276">
        <v>0.0</v>
      </c>
      <c r="AA276">
        <v>0.0</v>
      </c>
      <c r="AB276">
        <v>0.0</v>
      </c>
      <c r="AC276">
        <v>0.0</v>
      </c>
      <c r="AD276">
        <v>0.0</v>
      </c>
    </row>
    <row r="277" spans="1:33">
      <c r="A277" t="s">
        <v>793</v>
      </c>
      <c r="B277" t="s">
        <v>794</v>
      </c>
      <c r="C277" t="s">
        <v>618</v>
      </c>
      <c r="D277" t="s">
        <v>36</v>
      </c>
      <c r="E277" t="s">
        <v>37</v>
      </c>
      <c r="F277" t="s">
        <v>37</v>
      </c>
      <c r="G277" t="s">
        <v>37</v>
      </c>
      <c r="J277" t="s">
        <v>619</v>
      </c>
      <c r="M277">
        <v>250</v>
      </c>
      <c r="W277">
        <v>0.0</v>
      </c>
      <c r="X277">
        <v>0.0</v>
      </c>
      <c r="Y277">
        <v>0.0</v>
      </c>
      <c r="Z277">
        <v>0.0</v>
      </c>
      <c r="AA277">
        <v>0.0</v>
      </c>
      <c r="AB277">
        <v>0.0</v>
      </c>
      <c r="AC277">
        <v>0.0</v>
      </c>
      <c r="AD277">
        <v>0.0</v>
      </c>
    </row>
    <row r="278" spans="1:33">
      <c r="A278" t="s">
        <v>795</v>
      </c>
      <c r="B278" t="s">
        <v>796</v>
      </c>
      <c r="C278" t="s">
        <v>618</v>
      </c>
      <c r="D278" t="s">
        <v>36</v>
      </c>
      <c r="E278" t="s">
        <v>37</v>
      </c>
      <c r="F278" t="s">
        <v>37</v>
      </c>
      <c r="G278" t="s">
        <v>37</v>
      </c>
      <c r="J278" t="s">
        <v>619</v>
      </c>
      <c r="M278">
        <v>9.99</v>
      </c>
      <c r="W278">
        <v>0.0</v>
      </c>
      <c r="X278">
        <v>0.0</v>
      </c>
      <c r="Y278">
        <v>0.0</v>
      </c>
      <c r="Z278">
        <v>0.0</v>
      </c>
      <c r="AA278">
        <v>0.0</v>
      </c>
      <c r="AB278">
        <v>0.0</v>
      </c>
      <c r="AC278">
        <v>0.0</v>
      </c>
      <c r="AD278">
        <v>0.0</v>
      </c>
    </row>
    <row r="279" spans="1:33">
      <c r="A279" t="s">
        <v>797</v>
      </c>
      <c r="B279" t="s">
        <v>798</v>
      </c>
      <c r="C279" t="s">
        <v>618</v>
      </c>
      <c r="D279" t="s">
        <v>36</v>
      </c>
      <c r="E279" t="s">
        <v>37</v>
      </c>
      <c r="F279" t="s">
        <v>37</v>
      </c>
      <c r="G279" t="s">
        <v>37</v>
      </c>
      <c r="J279" t="s">
        <v>619</v>
      </c>
      <c r="M279">
        <v>39</v>
      </c>
      <c r="W279">
        <v>0.0</v>
      </c>
      <c r="X279">
        <v>0.0</v>
      </c>
      <c r="Y279">
        <v>0.0</v>
      </c>
      <c r="Z279">
        <v>0.0</v>
      </c>
      <c r="AA279">
        <v>0.0</v>
      </c>
      <c r="AB279">
        <v>0.0</v>
      </c>
      <c r="AC279">
        <v>0.0</v>
      </c>
      <c r="AD279">
        <v>0.0</v>
      </c>
    </row>
    <row r="280" spans="1:33">
      <c r="A280" t="s">
        <v>799</v>
      </c>
      <c r="B280" t="s">
        <v>800</v>
      </c>
      <c r="C280" t="s">
        <v>618</v>
      </c>
      <c r="D280" t="s">
        <v>36</v>
      </c>
      <c r="E280" t="s">
        <v>37</v>
      </c>
      <c r="F280" t="s">
        <v>37</v>
      </c>
      <c r="G280" t="s">
        <v>37</v>
      </c>
      <c r="J280" t="s">
        <v>619</v>
      </c>
      <c r="M280">
        <v>20</v>
      </c>
      <c r="W280">
        <v>0.0</v>
      </c>
      <c r="X280">
        <v>0.0</v>
      </c>
      <c r="Y280">
        <v>0.0</v>
      </c>
      <c r="Z280">
        <v>0.0</v>
      </c>
      <c r="AA280">
        <v>0.0</v>
      </c>
      <c r="AB280">
        <v>0.0</v>
      </c>
      <c r="AC280">
        <v>0.0</v>
      </c>
      <c r="AD280">
        <v>0.0</v>
      </c>
    </row>
    <row r="281" spans="1:33">
      <c r="A281" t="s">
        <v>801</v>
      </c>
      <c r="B281" t="s">
        <v>802</v>
      </c>
      <c r="C281" t="s">
        <v>618</v>
      </c>
      <c r="D281" t="s">
        <v>36</v>
      </c>
      <c r="E281" t="s">
        <v>37</v>
      </c>
      <c r="F281" t="s">
        <v>37</v>
      </c>
      <c r="G281" t="s">
        <v>37</v>
      </c>
      <c r="J281" t="s">
        <v>619</v>
      </c>
      <c r="M281">
        <v>25</v>
      </c>
      <c r="W281">
        <v>0.0</v>
      </c>
      <c r="X281">
        <v>0.0</v>
      </c>
      <c r="Y281">
        <v>0.0</v>
      </c>
      <c r="Z281">
        <v>0.0</v>
      </c>
      <c r="AA281">
        <v>0.0</v>
      </c>
      <c r="AB281">
        <v>0.0</v>
      </c>
      <c r="AC281">
        <v>0.0</v>
      </c>
      <c r="AD281">
        <v>0.0</v>
      </c>
    </row>
    <row r="282" spans="1:33">
      <c r="A282" t="s">
        <v>803</v>
      </c>
      <c r="B282" t="s">
        <v>804</v>
      </c>
      <c r="C282" t="s">
        <v>618</v>
      </c>
      <c r="D282" t="s">
        <v>36</v>
      </c>
      <c r="E282" t="s">
        <v>37</v>
      </c>
      <c r="F282" t="s">
        <v>37</v>
      </c>
      <c r="G282" t="s">
        <v>37</v>
      </c>
      <c r="J282" t="s">
        <v>619</v>
      </c>
      <c r="M282">
        <v>4.99</v>
      </c>
      <c r="W282">
        <v>0.0</v>
      </c>
      <c r="X282">
        <v>0.0</v>
      </c>
      <c r="Y282">
        <v>0.0</v>
      </c>
      <c r="Z282">
        <v>0.0</v>
      </c>
      <c r="AA282">
        <v>0.0</v>
      </c>
      <c r="AB282">
        <v>0.0</v>
      </c>
      <c r="AC282">
        <v>0.0</v>
      </c>
      <c r="AD282">
        <v>0.0</v>
      </c>
    </row>
    <row r="283" spans="1:33">
      <c r="A283" t="s">
        <v>805</v>
      </c>
      <c r="B283" t="s">
        <v>806</v>
      </c>
      <c r="C283" t="s">
        <v>618</v>
      </c>
      <c r="D283" t="s">
        <v>36</v>
      </c>
      <c r="E283" t="s">
        <v>37</v>
      </c>
      <c r="F283" t="s">
        <v>37</v>
      </c>
      <c r="G283" t="s">
        <v>37</v>
      </c>
      <c r="J283" t="s">
        <v>619</v>
      </c>
      <c r="M283">
        <v>6.99</v>
      </c>
      <c r="W283">
        <v>0.0</v>
      </c>
      <c r="X283">
        <v>0.0</v>
      </c>
      <c r="Y283">
        <v>0.0</v>
      </c>
      <c r="Z283">
        <v>0.0</v>
      </c>
      <c r="AA283">
        <v>0.0</v>
      </c>
      <c r="AB283">
        <v>0.0</v>
      </c>
      <c r="AC283">
        <v>0.0</v>
      </c>
      <c r="AD283">
        <v>0.0</v>
      </c>
    </row>
    <row r="284" spans="1:33">
      <c r="A284" t="s">
        <v>807</v>
      </c>
      <c r="B284" t="s">
        <v>808</v>
      </c>
      <c r="C284" t="s">
        <v>618</v>
      </c>
      <c r="D284" t="s">
        <v>36</v>
      </c>
      <c r="E284" t="s">
        <v>37</v>
      </c>
      <c r="F284" t="s">
        <v>37</v>
      </c>
      <c r="G284" t="s">
        <v>37</v>
      </c>
      <c r="J284" t="s">
        <v>619</v>
      </c>
      <c r="M284">
        <v>15.99</v>
      </c>
      <c r="W284">
        <v>0.0</v>
      </c>
      <c r="X284">
        <v>0.0</v>
      </c>
      <c r="Y284">
        <v>0.0</v>
      </c>
      <c r="Z284">
        <v>0.0</v>
      </c>
      <c r="AA284">
        <v>0.0</v>
      </c>
      <c r="AB284">
        <v>0.0</v>
      </c>
      <c r="AC284">
        <v>0.0</v>
      </c>
      <c r="AD284">
        <v>0.0</v>
      </c>
    </row>
    <row r="285" spans="1:33">
      <c r="A285" t="s">
        <v>809</v>
      </c>
      <c r="B285" t="s">
        <v>810</v>
      </c>
      <c r="C285" t="s">
        <v>618</v>
      </c>
      <c r="D285" t="s">
        <v>36</v>
      </c>
      <c r="E285" t="s">
        <v>37</v>
      </c>
      <c r="F285" t="s">
        <v>37</v>
      </c>
      <c r="G285" t="s">
        <v>37</v>
      </c>
      <c r="J285" t="s">
        <v>619</v>
      </c>
      <c r="M285">
        <v>5</v>
      </c>
      <c r="W285">
        <v>0.0</v>
      </c>
      <c r="X285">
        <v>0.0</v>
      </c>
      <c r="Y285">
        <v>0.0</v>
      </c>
      <c r="Z285">
        <v>0.0</v>
      </c>
      <c r="AA285">
        <v>0.0</v>
      </c>
      <c r="AB285">
        <v>0.0</v>
      </c>
      <c r="AC285">
        <v>0.0</v>
      </c>
      <c r="AD285">
        <v>0.0</v>
      </c>
    </row>
    <row r="286" spans="1:33">
      <c r="A286" t="s">
        <v>811</v>
      </c>
      <c r="B286" t="s">
        <v>812</v>
      </c>
      <c r="C286" t="s">
        <v>618</v>
      </c>
      <c r="D286" t="s">
        <v>36</v>
      </c>
      <c r="E286" t="s">
        <v>37</v>
      </c>
      <c r="F286" t="s">
        <v>37</v>
      </c>
      <c r="G286" t="s">
        <v>37</v>
      </c>
      <c r="J286" t="s">
        <v>619</v>
      </c>
      <c r="M286">
        <v>160</v>
      </c>
      <c r="W286">
        <v>0.0</v>
      </c>
      <c r="X286">
        <v>0.0</v>
      </c>
      <c r="Y286">
        <v>0.0</v>
      </c>
      <c r="Z286">
        <v>0.0</v>
      </c>
      <c r="AA286">
        <v>0.0</v>
      </c>
      <c r="AB286">
        <v>0.0</v>
      </c>
      <c r="AC286">
        <v>0.0</v>
      </c>
      <c r="AD286">
        <v>0.0</v>
      </c>
    </row>
    <row r="287" spans="1:33">
      <c r="A287" t="s">
        <v>813</v>
      </c>
      <c r="B287" t="s">
        <v>814</v>
      </c>
      <c r="C287" t="s">
        <v>618</v>
      </c>
      <c r="D287" t="s">
        <v>36</v>
      </c>
      <c r="E287" t="s">
        <v>37</v>
      </c>
      <c r="F287" t="s">
        <v>37</v>
      </c>
      <c r="G287" t="s">
        <v>37</v>
      </c>
      <c r="J287" t="s">
        <v>619</v>
      </c>
      <c r="M287">
        <v>199</v>
      </c>
      <c r="W287">
        <v>0.0</v>
      </c>
      <c r="X287">
        <v>0.0</v>
      </c>
      <c r="Y287">
        <v>0.0</v>
      </c>
      <c r="Z287">
        <v>0.0</v>
      </c>
      <c r="AA287">
        <v>0.0</v>
      </c>
      <c r="AB287">
        <v>0.0</v>
      </c>
      <c r="AC287">
        <v>0.0</v>
      </c>
      <c r="AD287">
        <v>0.0</v>
      </c>
    </row>
    <row r="288" spans="1:33">
      <c r="A288" t="s">
        <v>815</v>
      </c>
      <c r="B288" t="s">
        <v>816</v>
      </c>
      <c r="C288" t="s">
        <v>618</v>
      </c>
      <c r="D288" t="s">
        <v>36</v>
      </c>
      <c r="E288" t="s">
        <v>37</v>
      </c>
      <c r="F288" t="s">
        <v>37</v>
      </c>
      <c r="G288" t="s">
        <v>37</v>
      </c>
      <c r="J288" t="s">
        <v>619</v>
      </c>
      <c r="M288">
        <v>30</v>
      </c>
      <c r="W288">
        <v>0.0</v>
      </c>
      <c r="X288">
        <v>0.0</v>
      </c>
      <c r="Y288">
        <v>0.0</v>
      </c>
      <c r="Z288">
        <v>0.0</v>
      </c>
      <c r="AA288">
        <v>0.0</v>
      </c>
      <c r="AB288">
        <v>0.0</v>
      </c>
      <c r="AC288">
        <v>0.0</v>
      </c>
      <c r="AD288">
        <v>0.0</v>
      </c>
    </row>
    <row r="289" spans="1:33">
      <c r="A289" t="s">
        <v>817</v>
      </c>
      <c r="B289" t="s">
        <v>818</v>
      </c>
      <c r="C289" t="s">
        <v>618</v>
      </c>
      <c r="D289" t="s">
        <v>36</v>
      </c>
      <c r="E289" t="s">
        <v>37</v>
      </c>
      <c r="F289" t="s">
        <v>37</v>
      </c>
      <c r="G289" t="s">
        <v>37</v>
      </c>
      <c r="J289" t="s">
        <v>619</v>
      </c>
      <c r="M289">
        <v>10</v>
      </c>
      <c r="W289">
        <v>0.0</v>
      </c>
      <c r="X289">
        <v>0.0</v>
      </c>
      <c r="Y289">
        <v>0.0</v>
      </c>
      <c r="Z289">
        <v>0.0</v>
      </c>
      <c r="AA289">
        <v>0.0</v>
      </c>
      <c r="AB289">
        <v>0.0</v>
      </c>
      <c r="AC289">
        <v>0.0</v>
      </c>
      <c r="AD289">
        <v>0.0</v>
      </c>
    </row>
    <row r="290" spans="1:33">
      <c r="A290" t="s">
        <v>819</v>
      </c>
      <c r="B290" t="s">
        <v>820</v>
      </c>
      <c r="C290" t="s">
        <v>618</v>
      </c>
      <c r="D290" t="s">
        <v>36</v>
      </c>
      <c r="E290" t="s">
        <v>37</v>
      </c>
      <c r="F290" t="s">
        <v>37</v>
      </c>
      <c r="G290" t="s">
        <v>37</v>
      </c>
      <c r="J290" t="s">
        <v>619</v>
      </c>
      <c r="M290">
        <v>59</v>
      </c>
      <c r="W290">
        <v>0.0</v>
      </c>
      <c r="X290">
        <v>0.0</v>
      </c>
      <c r="Y290">
        <v>0.0</v>
      </c>
      <c r="Z290">
        <v>0.0</v>
      </c>
      <c r="AA290">
        <v>0.0</v>
      </c>
      <c r="AB290">
        <v>0.0</v>
      </c>
      <c r="AC290">
        <v>0.0</v>
      </c>
      <c r="AD290">
        <v>0.0</v>
      </c>
    </row>
    <row r="291" spans="1:33">
      <c r="A291" t="s">
        <v>821</v>
      </c>
      <c r="B291" t="s">
        <v>822</v>
      </c>
      <c r="C291" t="s">
        <v>618</v>
      </c>
      <c r="D291" t="s">
        <v>36</v>
      </c>
      <c r="E291" t="s">
        <v>37</v>
      </c>
      <c r="F291" t="s">
        <v>37</v>
      </c>
      <c r="G291" t="s">
        <v>37</v>
      </c>
      <c r="J291" t="s">
        <v>619</v>
      </c>
      <c r="M291">
        <v>100</v>
      </c>
      <c r="W291">
        <v>0.0</v>
      </c>
      <c r="X291">
        <v>0.0</v>
      </c>
      <c r="Y291">
        <v>0.0</v>
      </c>
      <c r="Z291">
        <v>0.0</v>
      </c>
      <c r="AA291">
        <v>0.0</v>
      </c>
      <c r="AB291">
        <v>0.0</v>
      </c>
      <c r="AC291">
        <v>0.0</v>
      </c>
      <c r="AD291">
        <v>0.0</v>
      </c>
    </row>
    <row r="292" spans="1:33">
      <c r="A292" t="s">
        <v>823</v>
      </c>
      <c r="B292" t="s">
        <v>824</v>
      </c>
      <c r="C292" t="s">
        <v>618</v>
      </c>
      <c r="D292" t="s">
        <v>36</v>
      </c>
      <c r="E292" t="s">
        <v>37</v>
      </c>
      <c r="F292" t="s">
        <v>37</v>
      </c>
      <c r="G292" t="s">
        <v>37</v>
      </c>
      <c r="J292" t="s">
        <v>619</v>
      </c>
      <c r="M292">
        <v>10</v>
      </c>
      <c r="W292">
        <v>0.0</v>
      </c>
      <c r="X292">
        <v>0.0</v>
      </c>
      <c r="Y292">
        <v>0.0</v>
      </c>
      <c r="Z292">
        <v>0.0</v>
      </c>
      <c r="AA292">
        <v>0.0</v>
      </c>
      <c r="AB292">
        <v>0.0</v>
      </c>
      <c r="AC292">
        <v>0.0</v>
      </c>
      <c r="AD292">
        <v>0.0</v>
      </c>
    </row>
    <row r="293" spans="1:33">
      <c r="A293" t="s">
        <v>825</v>
      </c>
      <c r="B293" t="s">
        <v>826</v>
      </c>
      <c r="C293" t="s">
        <v>618</v>
      </c>
      <c r="D293" t="s">
        <v>36</v>
      </c>
      <c r="E293" t="s">
        <v>37</v>
      </c>
      <c r="F293" t="s">
        <v>37</v>
      </c>
      <c r="G293" t="s">
        <v>37</v>
      </c>
      <c r="J293" t="s">
        <v>619</v>
      </c>
      <c r="M293">
        <v>10</v>
      </c>
      <c r="W293">
        <v>0.0</v>
      </c>
      <c r="X293">
        <v>0.0</v>
      </c>
      <c r="Y293">
        <v>0.0</v>
      </c>
      <c r="Z293">
        <v>0.0</v>
      </c>
      <c r="AA293">
        <v>0.0</v>
      </c>
      <c r="AB293">
        <v>0.0</v>
      </c>
      <c r="AC293">
        <v>0.0</v>
      </c>
      <c r="AD293">
        <v>0.0</v>
      </c>
    </row>
    <row r="294" spans="1:33">
      <c r="A294" t="s">
        <v>827</v>
      </c>
      <c r="B294" t="s">
        <v>828</v>
      </c>
      <c r="C294" t="s">
        <v>618</v>
      </c>
      <c r="D294" t="s">
        <v>36</v>
      </c>
      <c r="E294" t="s">
        <v>37</v>
      </c>
      <c r="F294" t="s">
        <v>37</v>
      </c>
      <c r="G294" t="s">
        <v>37</v>
      </c>
      <c r="J294" t="s">
        <v>619</v>
      </c>
      <c r="M294">
        <v>10</v>
      </c>
      <c r="W294">
        <v>0.0</v>
      </c>
      <c r="X294">
        <v>0.0</v>
      </c>
      <c r="Y294">
        <v>0.0</v>
      </c>
      <c r="Z294">
        <v>0.0</v>
      </c>
      <c r="AA294">
        <v>0.0</v>
      </c>
      <c r="AB294">
        <v>0.0</v>
      </c>
      <c r="AC294">
        <v>0.0</v>
      </c>
      <c r="AD294">
        <v>0.0</v>
      </c>
    </row>
    <row r="295" spans="1:33">
      <c r="A295" t="s">
        <v>829</v>
      </c>
      <c r="B295" t="s">
        <v>830</v>
      </c>
      <c r="C295" t="s">
        <v>618</v>
      </c>
      <c r="D295" t="s">
        <v>36</v>
      </c>
      <c r="E295" t="s">
        <v>37</v>
      </c>
      <c r="F295" t="s">
        <v>37</v>
      </c>
      <c r="G295" t="s">
        <v>37</v>
      </c>
      <c r="J295" t="s">
        <v>619</v>
      </c>
      <c r="M295">
        <v>10</v>
      </c>
      <c r="W295">
        <v>0.0</v>
      </c>
      <c r="X295">
        <v>0.0</v>
      </c>
      <c r="Y295">
        <v>0.0</v>
      </c>
      <c r="Z295">
        <v>0.0</v>
      </c>
      <c r="AA295">
        <v>0.0</v>
      </c>
      <c r="AB295">
        <v>0.0</v>
      </c>
      <c r="AC295">
        <v>0.0</v>
      </c>
      <c r="AD295">
        <v>0.0</v>
      </c>
    </row>
    <row r="296" spans="1:33">
      <c r="A296" t="s">
        <v>831</v>
      </c>
      <c r="B296" t="s">
        <v>832</v>
      </c>
      <c r="C296" t="s">
        <v>618</v>
      </c>
      <c r="D296" t="s">
        <v>36</v>
      </c>
      <c r="E296" t="s">
        <v>37</v>
      </c>
      <c r="F296" t="s">
        <v>37</v>
      </c>
      <c r="G296" t="s">
        <v>37</v>
      </c>
      <c r="H296">
        <v>1</v>
      </c>
      <c r="J296" t="s">
        <v>619</v>
      </c>
      <c r="L296" t="s">
        <v>833</v>
      </c>
      <c r="M296">
        <v>11470.8</v>
      </c>
      <c r="W296">
        <v>0.0</v>
      </c>
      <c r="X296">
        <v>0.0</v>
      </c>
      <c r="Y296">
        <v>0.0</v>
      </c>
      <c r="Z296">
        <v>0.0</v>
      </c>
      <c r="AA296">
        <v>0.0</v>
      </c>
      <c r="AB296">
        <v>0.0</v>
      </c>
      <c r="AC296">
        <v>0.0</v>
      </c>
      <c r="AD296">
        <v>0.0</v>
      </c>
    </row>
    <row r="297" spans="1:33">
      <c r="A297" t="s">
        <v>834</v>
      </c>
      <c r="B297" t="s">
        <v>835</v>
      </c>
      <c r="C297" t="s">
        <v>618</v>
      </c>
      <c r="D297" t="s">
        <v>36</v>
      </c>
      <c r="E297" t="s">
        <v>37</v>
      </c>
      <c r="F297" t="s">
        <v>37</v>
      </c>
      <c r="G297" t="s">
        <v>37</v>
      </c>
      <c r="H297">
        <v>1</v>
      </c>
      <c r="J297" t="s">
        <v>619</v>
      </c>
      <c r="L297" t="s">
        <v>833</v>
      </c>
      <c r="M297">
        <v>1740</v>
      </c>
      <c r="W297">
        <v>0.0</v>
      </c>
      <c r="X297">
        <v>0.0</v>
      </c>
      <c r="Y297">
        <v>0.0</v>
      </c>
      <c r="Z297">
        <v>0.0</v>
      </c>
      <c r="AA297">
        <v>0.0</v>
      </c>
      <c r="AB297">
        <v>0.0</v>
      </c>
      <c r="AC297">
        <v>0.0</v>
      </c>
      <c r="AD297">
        <v>0.0</v>
      </c>
    </row>
    <row r="298" spans="1:33">
      <c r="A298" t="s">
        <v>836</v>
      </c>
      <c r="B298" t="s">
        <v>837</v>
      </c>
      <c r="C298" t="s">
        <v>618</v>
      </c>
      <c r="D298" t="s">
        <v>36</v>
      </c>
      <c r="E298" t="s">
        <v>37</v>
      </c>
      <c r="F298" t="s">
        <v>37</v>
      </c>
      <c r="G298" t="s">
        <v>37</v>
      </c>
      <c r="J298" t="s">
        <v>619</v>
      </c>
      <c r="M298">
        <v>100</v>
      </c>
      <c r="W298">
        <v>0.0</v>
      </c>
      <c r="X298">
        <v>0.0</v>
      </c>
      <c r="Y298">
        <v>0.0</v>
      </c>
      <c r="Z298">
        <v>0.0</v>
      </c>
      <c r="AA298">
        <v>0.0</v>
      </c>
      <c r="AB298">
        <v>0.0</v>
      </c>
      <c r="AC298">
        <v>0.0</v>
      </c>
      <c r="AD298">
        <v>0.0</v>
      </c>
    </row>
    <row r="299" spans="1:33">
      <c r="A299" t="s">
        <v>838</v>
      </c>
      <c r="B299" t="s">
        <v>839</v>
      </c>
      <c r="C299" t="s">
        <v>618</v>
      </c>
      <c r="D299" t="s">
        <v>36</v>
      </c>
      <c r="E299" t="s">
        <v>37</v>
      </c>
      <c r="F299" t="s">
        <v>37</v>
      </c>
      <c r="G299" t="s">
        <v>37</v>
      </c>
      <c r="J299" t="s">
        <v>619</v>
      </c>
      <c r="L299" t="s">
        <v>743</v>
      </c>
      <c r="W299">
        <v>0.0</v>
      </c>
      <c r="X299">
        <v>0.0</v>
      </c>
      <c r="Y299">
        <v>0.0</v>
      </c>
      <c r="Z299">
        <v>0.0</v>
      </c>
      <c r="AA299">
        <v>0.0</v>
      </c>
      <c r="AB299">
        <v>0.0</v>
      </c>
      <c r="AC299">
        <v>0.0</v>
      </c>
      <c r="AD299">
        <v>0.0</v>
      </c>
    </row>
    <row r="300" spans="1:33">
      <c r="A300" t="s">
        <v>840</v>
      </c>
      <c r="B300" t="s">
        <v>841</v>
      </c>
      <c r="C300" t="s">
        <v>618</v>
      </c>
      <c r="D300" t="s">
        <v>36</v>
      </c>
      <c r="E300" t="s">
        <v>37</v>
      </c>
      <c r="F300" t="s">
        <v>37</v>
      </c>
      <c r="G300" t="s">
        <v>37</v>
      </c>
      <c r="J300" t="s">
        <v>619</v>
      </c>
      <c r="M300">
        <v>69.99</v>
      </c>
      <c r="P300" t="s">
        <v>46</v>
      </c>
      <c r="W300">
        <v>0.0</v>
      </c>
      <c r="X300">
        <v>0.0</v>
      </c>
      <c r="Y300">
        <v>0.0</v>
      </c>
      <c r="Z300">
        <v>0.0</v>
      </c>
      <c r="AA300">
        <v>0.0</v>
      </c>
      <c r="AB300">
        <v>0.0</v>
      </c>
      <c r="AC300">
        <v>0.0</v>
      </c>
      <c r="AD300">
        <v>0.0</v>
      </c>
      <c r="AG300" t="str">
        <f>HYPERLINK("https://fwc26.smmarta.com/nomenclature/917/images-download", "Download")</f>
        <v>0</v>
      </c>
    </row>
    <row r="301" spans="1:33">
      <c r="A301" t="s">
        <v>842</v>
      </c>
      <c r="B301" t="s">
        <v>843</v>
      </c>
      <c r="C301" t="s">
        <v>618</v>
      </c>
      <c r="D301" t="s">
        <v>36</v>
      </c>
      <c r="E301" t="s">
        <v>37</v>
      </c>
      <c r="F301" t="s">
        <v>37</v>
      </c>
      <c r="G301" t="s">
        <v>37</v>
      </c>
      <c r="J301" t="s">
        <v>619</v>
      </c>
      <c r="K301" t="s">
        <v>844</v>
      </c>
      <c r="M301">
        <v>3.7</v>
      </c>
      <c r="O301" t="s">
        <v>845</v>
      </c>
      <c r="P301" t="s">
        <v>46</v>
      </c>
      <c r="W301">
        <v>0.0</v>
      </c>
      <c r="X301">
        <v>0.0</v>
      </c>
      <c r="Y301">
        <v>0.0</v>
      </c>
      <c r="Z301">
        <v>0.0</v>
      </c>
      <c r="AA301">
        <v>0.0</v>
      </c>
      <c r="AB301">
        <v>0.0</v>
      </c>
      <c r="AC301">
        <v>0.0</v>
      </c>
      <c r="AD301">
        <v>0.0</v>
      </c>
      <c r="AG301" t="str">
        <f>HYPERLINK("https://fwc26.smmarta.com/nomenclature/918/images-download", "Download")</f>
        <v>0</v>
      </c>
    </row>
    <row r="302" spans="1:33">
      <c r="A302" t="s">
        <v>846</v>
      </c>
      <c r="B302" t="s">
        <v>847</v>
      </c>
      <c r="C302" t="s">
        <v>618</v>
      </c>
      <c r="D302" t="s">
        <v>36</v>
      </c>
      <c r="E302" t="s">
        <v>37</v>
      </c>
      <c r="F302" t="s">
        <v>37</v>
      </c>
      <c r="G302" t="s">
        <v>37</v>
      </c>
      <c r="J302" t="s">
        <v>619</v>
      </c>
      <c r="K302" t="s">
        <v>848</v>
      </c>
      <c r="M302">
        <v>3.7</v>
      </c>
      <c r="O302" t="s">
        <v>845</v>
      </c>
      <c r="P302" t="s">
        <v>46</v>
      </c>
      <c r="W302">
        <v>0.0</v>
      </c>
      <c r="X302">
        <v>0.0</v>
      </c>
      <c r="Y302">
        <v>0.0</v>
      </c>
      <c r="Z302">
        <v>0.0</v>
      </c>
      <c r="AA302">
        <v>0.0</v>
      </c>
      <c r="AB302">
        <v>0.0</v>
      </c>
      <c r="AC302">
        <v>0.0</v>
      </c>
      <c r="AD302">
        <v>0.0</v>
      </c>
      <c r="AG302" t="str">
        <f>HYPERLINK("https://fwc26.smmarta.com/nomenclature/919/images-download", "Download")</f>
        <v>0</v>
      </c>
    </row>
    <row r="303" spans="1:33">
      <c r="A303" t="s">
        <v>849</v>
      </c>
      <c r="B303" t="s">
        <v>850</v>
      </c>
      <c r="C303" t="s">
        <v>618</v>
      </c>
      <c r="D303" t="s">
        <v>204</v>
      </c>
      <c r="E303" t="s">
        <v>37</v>
      </c>
      <c r="F303" t="s">
        <v>37</v>
      </c>
      <c r="G303" t="s">
        <v>37</v>
      </c>
      <c r="J303" t="s">
        <v>619</v>
      </c>
      <c r="K303" t="s">
        <v>851</v>
      </c>
      <c r="M303">
        <v>37</v>
      </c>
      <c r="O303" t="s">
        <v>845</v>
      </c>
      <c r="P303" t="s">
        <v>46</v>
      </c>
      <c r="W303">
        <v>0.0</v>
      </c>
      <c r="X303">
        <v>0.0</v>
      </c>
      <c r="Y303">
        <v>0.0</v>
      </c>
      <c r="Z303">
        <v>0.0</v>
      </c>
      <c r="AA303">
        <v>0.0</v>
      </c>
      <c r="AB303">
        <v>0.0</v>
      </c>
      <c r="AC303">
        <v>0.0</v>
      </c>
      <c r="AD303">
        <v>0.0</v>
      </c>
    </row>
    <row r="304" spans="1:33">
      <c r="A304" t="s">
        <v>852</v>
      </c>
      <c r="B304" t="s">
        <v>853</v>
      </c>
      <c r="C304" t="s">
        <v>618</v>
      </c>
      <c r="D304" t="s">
        <v>204</v>
      </c>
      <c r="E304" t="s">
        <v>37</v>
      </c>
      <c r="F304" t="s">
        <v>37</v>
      </c>
      <c r="G304" t="s">
        <v>37</v>
      </c>
      <c r="H304">
        <v>10</v>
      </c>
      <c r="J304" t="s">
        <v>619</v>
      </c>
      <c r="K304" t="s">
        <v>854</v>
      </c>
      <c r="M304">
        <v>37</v>
      </c>
      <c r="P304" t="s">
        <v>46</v>
      </c>
      <c r="W304">
        <v>0.0</v>
      </c>
      <c r="X304">
        <v>0.0</v>
      </c>
      <c r="Y304">
        <v>0.0</v>
      </c>
      <c r="Z304">
        <v>0.0</v>
      </c>
      <c r="AA304">
        <v>0.0</v>
      </c>
      <c r="AB304">
        <v>0.0</v>
      </c>
      <c r="AC304">
        <v>0.0</v>
      </c>
      <c r="AD304">
        <v>0.0</v>
      </c>
    </row>
    <row r="305" spans="1:33">
      <c r="A305" t="s">
        <v>855</v>
      </c>
      <c r="B305" t="s">
        <v>856</v>
      </c>
      <c r="C305" t="s">
        <v>618</v>
      </c>
      <c r="D305" t="s">
        <v>204</v>
      </c>
      <c r="E305" t="s">
        <v>37</v>
      </c>
      <c r="F305" t="s">
        <v>37</v>
      </c>
      <c r="G305" t="s">
        <v>37</v>
      </c>
      <c r="H305">
        <v>50</v>
      </c>
      <c r="J305" t="s">
        <v>619</v>
      </c>
      <c r="K305" t="s">
        <v>857</v>
      </c>
      <c r="M305">
        <v>24</v>
      </c>
      <c r="P305" t="s">
        <v>46</v>
      </c>
      <c r="W305">
        <v>0.0</v>
      </c>
      <c r="X305">
        <v>0.0</v>
      </c>
      <c r="Y305">
        <v>0.0</v>
      </c>
      <c r="Z305">
        <v>0.0</v>
      </c>
      <c r="AA305">
        <v>0.0</v>
      </c>
      <c r="AB305">
        <v>0.0</v>
      </c>
      <c r="AC305">
        <v>0.0</v>
      </c>
      <c r="AD305">
        <v>0.0</v>
      </c>
      <c r="AG305" t="str">
        <f>HYPERLINK("https://fwc26.smmarta.com/nomenclature/920/images-download", "Download")</f>
        <v>0</v>
      </c>
    </row>
    <row r="306" spans="1:33">
      <c r="A306" t="s">
        <v>858</v>
      </c>
      <c r="B306" t="s">
        <v>859</v>
      </c>
      <c r="C306" t="s">
        <v>618</v>
      </c>
      <c r="D306" t="s">
        <v>204</v>
      </c>
      <c r="E306" t="s">
        <v>37</v>
      </c>
      <c r="F306" t="s">
        <v>37</v>
      </c>
      <c r="G306" t="s">
        <v>37</v>
      </c>
      <c r="H306">
        <v>4</v>
      </c>
      <c r="J306" t="s">
        <v>619</v>
      </c>
      <c r="K306" t="s">
        <v>860</v>
      </c>
      <c r="M306">
        <v>81.5</v>
      </c>
      <c r="P306" t="s">
        <v>46</v>
      </c>
      <c r="W306">
        <v>0.0</v>
      </c>
      <c r="X306">
        <v>0.0</v>
      </c>
      <c r="Y306">
        <v>0.0</v>
      </c>
      <c r="Z306">
        <v>0.0</v>
      </c>
      <c r="AA306">
        <v>0.0</v>
      </c>
      <c r="AB306">
        <v>0.0</v>
      </c>
      <c r="AC306">
        <v>0.0</v>
      </c>
      <c r="AD306">
        <v>0.0</v>
      </c>
      <c r="AG306" t="str">
        <f>HYPERLINK("https://fwc26.smmarta.com/nomenclature/921/images-download", "Download")</f>
        <v>0</v>
      </c>
    </row>
    <row r="307" spans="1:33">
      <c r="A307" t="s">
        <v>861</v>
      </c>
      <c r="B307" t="s">
        <v>862</v>
      </c>
      <c r="C307" t="s">
        <v>618</v>
      </c>
      <c r="D307" t="s">
        <v>36</v>
      </c>
      <c r="E307" t="s">
        <v>37</v>
      </c>
      <c r="F307" t="s">
        <v>37</v>
      </c>
      <c r="G307" t="s">
        <v>37</v>
      </c>
      <c r="J307" t="s">
        <v>619</v>
      </c>
      <c r="K307" t="s">
        <v>860</v>
      </c>
      <c r="M307">
        <v>81.5</v>
      </c>
      <c r="P307" t="s">
        <v>46</v>
      </c>
      <c r="W307">
        <v>0.0</v>
      </c>
      <c r="X307">
        <v>0.0</v>
      </c>
      <c r="Y307">
        <v>0.0</v>
      </c>
      <c r="Z307">
        <v>0.0</v>
      </c>
      <c r="AA307">
        <v>0.0</v>
      </c>
      <c r="AB307">
        <v>0.0</v>
      </c>
      <c r="AC307">
        <v>0.0</v>
      </c>
      <c r="AD307">
        <v>0.0</v>
      </c>
      <c r="AG307" t="str">
        <f>HYPERLINK("https://fwc26.smmarta.com/nomenclature/922/images-download", "Download")</f>
        <v>0</v>
      </c>
    </row>
    <row r="308" spans="1:33">
      <c r="A308" t="s">
        <v>863</v>
      </c>
      <c r="B308" t="s">
        <v>864</v>
      </c>
      <c r="C308" t="s">
        <v>618</v>
      </c>
      <c r="D308" t="s">
        <v>204</v>
      </c>
      <c r="E308" t="s">
        <v>37</v>
      </c>
      <c r="F308" t="s">
        <v>37</v>
      </c>
      <c r="G308" t="s">
        <v>37</v>
      </c>
      <c r="H308">
        <v>4</v>
      </c>
      <c r="J308" t="s">
        <v>619</v>
      </c>
      <c r="K308" t="s">
        <v>865</v>
      </c>
      <c r="M308">
        <v>81.5</v>
      </c>
      <c r="P308" t="s">
        <v>46</v>
      </c>
      <c r="W308">
        <v>0.0</v>
      </c>
      <c r="X308">
        <v>0.0</v>
      </c>
      <c r="Y308">
        <v>0.0</v>
      </c>
      <c r="Z308">
        <v>0.0</v>
      </c>
      <c r="AA308">
        <v>0.0</v>
      </c>
      <c r="AB308">
        <v>0.0</v>
      </c>
      <c r="AC308">
        <v>0.0</v>
      </c>
      <c r="AD308">
        <v>0.0</v>
      </c>
    </row>
    <row r="309" spans="1:33">
      <c r="A309" t="s">
        <v>866</v>
      </c>
      <c r="B309" t="s">
        <v>867</v>
      </c>
      <c r="C309" t="s">
        <v>618</v>
      </c>
      <c r="D309" t="s">
        <v>36</v>
      </c>
      <c r="E309" t="s">
        <v>37</v>
      </c>
      <c r="F309" t="s">
        <v>37</v>
      </c>
      <c r="G309" t="s">
        <v>37</v>
      </c>
      <c r="J309" t="s">
        <v>619</v>
      </c>
      <c r="K309" t="s">
        <v>868</v>
      </c>
      <c r="M309">
        <v>26</v>
      </c>
      <c r="P309" t="s">
        <v>46</v>
      </c>
      <c r="W309">
        <v>0.0</v>
      </c>
      <c r="X309">
        <v>0.0</v>
      </c>
      <c r="Y309">
        <v>0.0</v>
      </c>
      <c r="Z309">
        <v>0.0</v>
      </c>
      <c r="AA309">
        <v>0.0</v>
      </c>
      <c r="AB309">
        <v>0.0</v>
      </c>
      <c r="AC309">
        <v>0.0</v>
      </c>
      <c r="AD309">
        <v>0.0</v>
      </c>
      <c r="AG309" t="str">
        <f>HYPERLINK("https://fwc26.smmarta.com/nomenclature/923/images-download", "Download")</f>
        <v>0</v>
      </c>
    </row>
    <row r="310" spans="1:33">
      <c r="A310" t="s">
        <v>869</v>
      </c>
      <c r="B310" t="s">
        <v>870</v>
      </c>
      <c r="C310" t="s">
        <v>618</v>
      </c>
      <c r="D310" t="s">
        <v>36</v>
      </c>
      <c r="E310" t="s">
        <v>37</v>
      </c>
      <c r="F310" t="s">
        <v>37</v>
      </c>
      <c r="G310" t="s">
        <v>37</v>
      </c>
      <c r="H310">
        <v>1</v>
      </c>
      <c r="J310" t="s">
        <v>619</v>
      </c>
      <c r="K310" t="s">
        <v>871</v>
      </c>
      <c r="L310" t="s">
        <v>872</v>
      </c>
      <c r="M310">
        <v>250</v>
      </c>
      <c r="P310" t="s">
        <v>46</v>
      </c>
      <c r="W310">
        <v>0.0</v>
      </c>
      <c r="X310">
        <v>0.0</v>
      </c>
      <c r="Y310">
        <v>0.0</v>
      </c>
      <c r="Z310">
        <v>0.0</v>
      </c>
      <c r="AA310">
        <v>0.0</v>
      </c>
      <c r="AB310">
        <v>0.0</v>
      </c>
      <c r="AC310">
        <v>0.0</v>
      </c>
      <c r="AD310">
        <v>0.0</v>
      </c>
      <c r="AE310" t="s">
        <v>873</v>
      </c>
      <c r="AG310" t="str">
        <f>HYPERLINK("https://fwc26.smmarta.com/nomenclature/924/images-download", "Download")</f>
        <v>0</v>
      </c>
    </row>
    <row r="311" spans="1:33">
      <c r="A311" t="s">
        <v>874</v>
      </c>
      <c r="B311" t="s">
        <v>875</v>
      </c>
      <c r="C311" t="s">
        <v>618</v>
      </c>
      <c r="D311" t="s">
        <v>36</v>
      </c>
      <c r="E311" t="s">
        <v>37</v>
      </c>
      <c r="F311" t="s">
        <v>37</v>
      </c>
      <c r="G311" t="s">
        <v>37</v>
      </c>
      <c r="J311" t="s">
        <v>619</v>
      </c>
      <c r="W311">
        <v>0.0</v>
      </c>
      <c r="X311">
        <v>0.0</v>
      </c>
      <c r="Y311">
        <v>0.0</v>
      </c>
      <c r="Z311">
        <v>0.0</v>
      </c>
      <c r="AA311">
        <v>0.0</v>
      </c>
      <c r="AB311">
        <v>0.0</v>
      </c>
      <c r="AC311">
        <v>0.0</v>
      </c>
      <c r="AD311">
        <v>0.0</v>
      </c>
      <c r="AG311" t="str">
        <f>HYPERLINK("https://fwc26.smmarta.com/nomenclature/925/images-download", "Download")</f>
        <v>0</v>
      </c>
    </row>
    <row r="312" spans="1:33">
      <c r="A312" t="s">
        <v>876</v>
      </c>
      <c r="B312" t="s">
        <v>877</v>
      </c>
      <c r="C312" t="s">
        <v>618</v>
      </c>
      <c r="D312" t="s">
        <v>36</v>
      </c>
      <c r="E312" t="s">
        <v>37</v>
      </c>
      <c r="F312" t="s">
        <v>37</v>
      </c>
      <c r="G312" t="s">
        <v>37</v>
      </c>
      <c r="J312" t="s">
        <v>619</v>
      </c>
      <c r="K312" t="s">
        <v>878</v>
      </c>
      <c r="M312">
        <v>26</v>
      </c>
      <c r="P312" t="s">
        <v>46</v>
      </c>
      <c r="W312">
        <v>0.0</v>
      </c>
      <c r="X312">
        <v>0.0</v>
      </c>
      <c r="Y312">
        <v>0.0</v>
      </c>
      <c r="Z312">
        <v>0.0</v>
      </c>
      <c r="AA312">
        <v>0.0</v>
      </c>
      <c r="AB312">
        <v>0.0</v>
      </c>
      <c r="AC312">
        <v>0.0</v>
      </c>
      <c r="AD312">
        <v>0.0</v>
      </c>
      <c r="AG312" t="str">
        <f>HYPERLINK("https://fwc26.smmarta.com/nomenclature/1240/images-download", "Download")</f>
        <v>0</v>
      </c>
    </row>
    <row r="313" spans="1:33">
      <c r="A313" t="s">
        <v>879</v>
      </c>
      <c r="B313" t="s">
        <v>880</v>
      </c>
      <c r="C313" t="s">
        <v>618</v>
      </c>
      <c r="D313" t="s">
        <v>36</v>
      </c>
      <c r="E313" t="s">
        <v>37</v>
      </c>
      <c r="F313" t="s">
        <v>37</v>
      </c>
      <c r="G313" t="s">
        <v>37</v>
      </c>
      <c r="J313" t="s">
        <v>619</v>
      </c>
      <c r="K313" t="s">
        <v>881</v>
      </c>
      <c r="M313">
        <v>12</v>
      </c>
      <c r="P313" t="s">
        <v>46</v>
      </c>
      <c r="W313">
        <v>0.0</v>
      </c>
      <c r="X313">
        <v>0.0</v>
      </c>
      <c r="Y313">
        <v>0.0</v>
      </c>
      <c r="Z313">
        <v>0.0</v>
      </c>
      <c r="AA313">
        <v>0.0</v>
      </c>
      <c r="AB313">
        <v>0.0</v>
      </c>
      <c r="AC313">
        <v>0.0</v>
      </c>
      <c r="AD313">
        <v>0.0</v>
      </c>
      <c r="AG313" t="str">
        <f>HYPERLINK("https://fwc26.smmarta.com/nomenclature/926/images-download", "Download")</f>
        <v>0</v>
      </c>
    </row>
    <row r="314" spans="1:33">
      <c r="A314" t="s">
        <v>882</v>
      </c>
      <c r="B314" t="s">
        <v>883</v>
      </c>
      <c r="C314" t="s">
        <v>618</v>
      </c>
      <c r="D314" t="s">
        <v>36</v>
      </c>
      <c r="E314" t="s">
        <v>37</v>
      </c>
      <c r="F314" t="s">
        <v>37</v>
      </c>
      <c r="G314" t="s">
        <v>37</v>
      </c>
      <c r="J314" t="s">
        <v>619</v>
      </c>
      <c r="K314" t="s">
        <v>884</v>
      </c>
      <c r="M314">
        <v>12</v>
      </c>
      <c r="P314" t="s">
        <v>46</v>
      </c>
      <c r="W314">
        <v>0.0</v>
      </c>
      <c r="X314">
        <v>0.0</v>
      </c>
      <c r="Y314">
        <v>0.0</v>
      </c>
      <c r="Z314">
        <v>0.0</v>
      </c>
      <c r="AA314">
        <v>0.0</v>
      </c>
      <c r="AB314">
        <v>0.0</v>
      </c>
      <c r="AC314">
        <v>0.0</v>
      </c>
      <c r="AD314">
        <v>0.0</v>
      </c>
    </row>
    <row r="315" spans="1:33">
      <c r="A315" t="s">
        <v>885</v>
      </c>
      <c r="B315" t="s">
        <v>886</v>
      </c>
      <c r="C315" t="s">
        <v>618</v>
      </c>
      <c r="D315" t="s">
        <v>36</v>
      </c>
      <c r="E315" t="s">
        <v>37</v>
      </c>
      <c r="F315" t="s">
        <v>37</v>
      </c>
      <c r="G315" t="s">
        <v>37</v>
      </c>
      <c r="J315" t="s">
        <v>619</v>
      </c>
      <c r="K315" t="s">
        <v>887</v>
      </c>
      <c r="M315">
        <v>4</v>
      </c>
      <c r="P315" t="s">
        <v>46</v>
      </c>
      <c r="W315">
        <v>0.0</v>
      </c>
      <c r="X315">
        <v>0.0</v>
      </c>
      <c r="Y315">
        <v>0.0</v>
      </c>
      <c r="Z315">
        <v>0.0</v>
      </c>
      <c r="AA315">
        <v>0.0</v>
      </c>
      <c r="AB315">
        <v>0.0</v>
      </c>
      <c r="AC315">
        <v>0.0</v>
      </c>
      <c r="AD315">
        <v>0.0</v>
      </c>
      <c r="AG315" t="str">
        <f>HYPERLINK("https://fwc26.smmarta.com/nomenclature/927/images-download", "Download")</f>
        <v>0</v>
      </c>
    </row>
    <row r="316" spans="1:33">
      <c r="A316" t="s">
        <v>888</v>
      </c>
      <c r="B316" t="s">
        <v>889</v>
      </c>
      <c r="C316" t="s">
        <v>618</v>
      </c>
      <c r="D316" t="s">
        <v>36</v>
      </c>
      <c r="E316" t="s">
        <v>37</v>
      </c>
      <c r="F316" t="s">
        <v>37</v>
      </c>
      <c r="G316" t="s">
        <v>37</v>
      </c>
      <c r="J316" t="s">
        <v>619</v>
      </c>
      <c r="K316" t="s">
        <v>887</v>
      </c>
      <c r="M316">
        <v>4</v>
      </c>
      <c r="P316" t="s">
        <v>46</v>
      </c>
      <c r="W316">
        <v>0.0</v>
      </c>
      <c r="X316">
        <v>0.0</v>
      </c>
      <c r="Y316">
        <v>0.0</v>
      </c>
      <c r="Z316">
        <v>0.0</v>
      </c>
      <c r="AA316">
        <v>0.0</v>
      </c>
      <c r="AB316">
        <v>0.0</v>
      </c>
      <c r="AC316">
        <v>0.0</v>
      </c>
      <c r="AD316">
        <v>0.0</v>
      </c>
      <c r="AG316" t="str">
        <f>HYPERLINK("https://fwc26.smmarta.com/nomenclature/928/images-download", "Download")</f>
        <v>0</v>
      </c>
    </row>
    <row r="317" spans="1:33">
      <c r="A317" t="s">
        <v>890</v>
      </c>
      <c r="B317" t="s">
        <v>891</v>
      </c>
      <c r="C317" t="s">
        <v>618</v>
      </c>
      <c r="D317" t="s">
        <v>36</v>
      </c>
      <c r="E317" t="s">
        <v>37</v>
      </c>
      <c r="F317" t="s">
        <v>37</v>
      </c>
      <c r="G317" t="s">
        <v>37</v>
      </c>
      <c r="J317" t="s">
        <v>619</v>
      </c>
      <c r="M317">
        <v>4</v>
      </c>
      <c r="P317" t="s">
        <v>46</v>
      </c>
      <c r="W317">
        <v>0.0</v>
      </c>
      <c r="X317">
        <v>0.0</v>
      </c>
      <c r="Y317">
        <v>0.0</v>
      </c>
      <c r="Z317">
        <v>0.0</v>
      </c>
      <c r="AA317">
        <v>0.0</v>
      </c>
      <c r="AB317">
        <v>0.0</v>
      </c>
      <c r="AC317">
        <v>0.0</v>
      </c>
      <c r="AD317">
        <v>0.0</v>
      </c>
    </row>
    <row r="318" spans="1:33">
      <c r="A318" t="s">
        <v>892</v>
      </c>
      <c r="B318" t="s">
        <v>893</v>
      </c>
      <c r="C318" t="s">
        <v>618</v>
      </c>
      <c r="D318" t="s">
        <v>36</v>
      </c>
      <c r="E318" t="s">
        <v>37</v>
      </c>
      <c r="F318" t="s">
        <v>37</v>
      </c>
      <c r="G318" t="s">
        <v>37</v>
      </c>
      <c r="J318" t="s">
        <v>619</v>
      </c>
      <c r="K318" t="s">
        <v>894</v>
      </c>
      <c r="M318">
        <v>510</v>
      </c>
      <c r="P318" t="s">
        <v>46</v>
      </c>
      <c r="W318">
        <v>0.0</v>
      </c>
      <c r="X318">
        <v>0.0</v>
      </c>
      <c r="Y318">
        <v>0.0</v>
      </c>
      <c r="Z318">
        <v>0.0</v>
      </c>
      <c r="AA318">
        <v>0.0</v>
      </c>
      <c r="AB318">
        <v>0.0</v>
      </c>
      <c r="AC318">
        <v>0.0</v>
      </c>
      <c r="AD318">
        <v>0.0</v>
      </c>
      <c r="AG318" t="str">
        <f>HYPERLINK("https://fwc26.smmarta.com/nomenclature/929/images-download", "Download")</f>
        <v>0</v>
      </c>
    </row>
    <row r="319" spans="1:33">
      <c r="A319" t="s">
        <v>895</v>
      </c>
      <c r="B319" t="s">
        <v>896</v>
      </c>
      <c r="C319" t="s">
        <v>618</v>
      </c>
      <c r="D319" t="s">
        <v>36</v>
      </c>
      <c r="E319" t="s">
        <v>37</v>
      </c>
      <c r="F319" t="s">
        <v>37</v>
      </c>
      <c r="G319" t="s">
        <v>37</v>
      </c>
      <c r="J319" t="s">
        <v>619</v>
      </c>
      <c r="K319" t="s">
        <v>894</v>
      </c>
      <c r="M319">
        <v>510</v>
      </c>
      <c r="P319" t="s">
        <v>46</v>
      </c>
      <c r="W319">
        <v>0.0</v>
      </c>
      <c r="X319">
        <v>0.0</v>
      </c>
      <c r="Y319">
        <v>0.0</v>
      </c>
      <c r="Z319">
        <v>0.0</v>
      </c>
      <c r="AA319">
        <v>0.0</v>
      </c>
      <c r="AB319">
        <v>0.0</v>
      </c>
      <c r="AC319">
        <v>0.0</v>
      </c>
      <c r="AD319">
        <v>0.0</v>
      </c>
    </row>
    <row r="320" spans="1:33">
      <c r="A320" t="s">
        <v>897</v>
      </c>
      <c r="B320" t="s">
        <v>898</v>
      </c>
      <c r="C320" t="s">
        <v>618</v>
      </c>
      <c r="D320" t="s">
        <v>36</v>
      </c>
      <c r="E320" t="s">
        <v>37</v>
      </c>
      <c r="F320" t="s">
        <v>37</v>
      </c>
      <c r="G320" t="s">
        <v>37</v>
      </c>
      <c r="J320" t="s">
        <v>619</v>
      </c>
      <c r="K320" t="s">
        <v>894</v>
      </c>
      <c r="M320">
        <v>510</v>
      </c>
      <c r="P320" t="s">
        <v>46</v>
      </c>
      <c r="W320">
        <v>0.0</v>
      </c>
      <c r="X320">
        <v>0.0</v>
      </c>
      <c r="Y320">
        <v>0.0</v>
      </c>
      <c r="Z320">
        <v>0.0</v>
      </c>
      <c r="AA320">
        <v>0.0</v>
      </c>
      <c r="AB320">
        <v>0.0</v>
      </c>
      <c r="AC320">
        <v>0.0</v>
      </c>
      <c r="AD320">
        <v>0.0</v>
      </c>
    </row>
    <row r="321" spans="1:33">
      <c r="A321" t="s">
        <v>899</v>
      </c>
      <c r="B321" t="s">
        <v>900</v>
      </c>
      <c r="C321" t="s">
        <v>618</v>
      </c>
      <c r="D321" t="s">
        <v>36</v>
      </c>
      <c r="E321" t="s">
        <v>37</v>
      </c>
      <c r="F321" t="s">
        <v>37</v>
      </c>
      <c r="G321" t="s">
        <v>37</v>
      </c>
      <c r="J321" t="s">
        <v>619</v>
      </c>
      <c r="K321" t="s">
        <v>894</v>
      </c>
      <c r="M321">
        <v>510</v>
      </c>
      <c r="P321" t="s">
        <v>46</v>
      </c>
      <c r="W321">
        <v>0.0</v>
      </c>
      <c r="X321">
        <v>0.0</v>
      </c>
      <c r="Y321">
        <v>0.0</v>
      </c>
      <c r="Z321">
        <v>0.0</v>
      </c>
      <c r="AA321">
        <v>0.0</v>
      </c>
      <c r="AB321">
        <v>0.0</v>
      </c>
      <c r="AC321">
        <v>0.0</v>
      </c>
      <c r="AD321">
        <v>0.0</v>
      </c>
    </row>
    <row r="322" spans="1:33">
      <c r="A322" t="s">
        <v>901</v>
      </c>
      <c r="B322" t="s">
        <v>902</v>
      </c>
      <c r="C322" t="s">
        <v>618</v>
      </c>
      <c r="D322" t="s">
        <v>36</v>
      </c>
      <c r="E322" t="s">
        <v>113</v>
      </c>
      <c r="F322" t="s">
        <v>37</v>
      </c>
      <c r="G322" t="s">
        <v>37</v>
      </c>
      <c r="J322" t="s">
        <v>619</v>
      </c>
      <c r="W322">
        <v>0.0</v>
      </c>
      <c r="X322">
        <v>0.0</v>
      </c>
      <c r="Y322">
        <v>0.0</v>
      </c>
      <c r="Z322">
        <v>0.0</v>
      </c>
      <c r="AA322">
        <v>0.0</v>
      </c>
      <c r="AB322">
        <v>0.0</v>
      </c>
      <c r="AC322">
        <v>0.0</v>
      </c>
      <c r="AD322">
        <v>0.0</v>
      </c>
      <c r="AG322" t="str">
        <f>HYPERLINK("https://fwc26.smmarta.com/nomenclature/934/images-download", "Download")</f>
        <v>0</v>
      </c>
    </row>
    <row r="323" spans="1:33">
      <c r="A323" t="s">
        <v>903</v>
      </c>
      <c r="B323" t="s">
        <v>904</v>
      </c>
      <c r="C323" t="s">
        <v>618</v>
      </c>
      <c r="D323" t="s">
        <v>36</v>
      </c>
      <c r="E323" t="s">
        <v>37</v>
      </c>
      <c r="F323" t="s">
        <v>37</v>
      </c>
      <c r="G323" t="s">
        <v>37</v>
      </c>
      <c r="J323" t="s">
        <v>619</v>
      </c>
      <c r="W323">
        <v>0.0</v>
      </c>
      <c r="X323">
        <v>0.0</v>
      </c>
      <c r="Y323">
        <v>0.0</v>
      </c>
      <c r="Z323">
        <v>0.0</v>
      </c>
      <c r="AA323">
        <v>0.0</v>
      </c>
      <c r="AB323">
        <v>0.0</v>
      </c>
      <c r="AC323">
        <v>0.0</v>
      </c>
      <c r="AD323">
        <v>0.0</v>
      </c>
      <c r="AG323" t="str">
        <f>HYPERLINK("https://fwc26.smmarta.com/nomenclature/935/images-download", "Download")</f>
        <v>0</v>
      </c>
    </row>
    <row r="324" spans="1:33">
      <c r="A324" t="s">
        <v>905</v>
      </c>
      <c r="B324" t="s">
        <v>906</v>
      </c>
      <c r="C324" t="s">
        <v>618</v>
      </c>
      <c r="D324" t="s">
        <v>36</v>
      </c>
      <c r="E324" t="s">
        <v>37</v>
      </c>
      <c r="F324" t="s">
        <v>37</v>
      </c>
      <c r="G324" t="s">
        <v>37</v>
      </c>
      <c r="J324" t="s">
        <v>619</v>
      </c>
      <c r="K324" t="s">
        <v>907</v>
      </c>
      <c r="M324">
        <v>20</v>
      </c>
      <c r="P324" t="s">
        <v>46</v>
      </c>
      <c r="W324">
        <v>0.0</v>
      </c>
      <c r="X324">
        <v>0.0</v>
      </c>
      <c r="Y324">
        <v>0.0</v>
      </c>
      <c r="Z324">
        <v>0.0</v>
      </c>
      <c r="AA324">
        <v>0.0</v>
      </c>
      <c r="AB324">
        <v>0.0</v>
      </c>
      <c r="AC324">
        <v>0.0</v>
      </c>
      <c r="AD324">
        <v>0.0</v>
      </c>
      <c r="AG324" t="str">
        <f>HYPERLINK("https://fwc26.smmarta.com/nomenclature/936/images-download", "Download")</f>
        <v>0</v>
      </c>
    </row>
    <row r="325" spans="1:33">
      <c r="A325" t="s">
        <v>908</v>
      </c>
      <c r="B325" t="s">
        <v>909</v>
      </c>
      <c r="C325" t="s">
        <v>618</v>
      </c>
      <c r="D325" t="s">
        <v>36</v>
      </c>
      <c r="E325" t="s">
        <v>37</v>
      </c>
      <c r="F325" t="s">
        <v>37</v>
      </c>
      <c r="G325" t="s">
        <v>37</v>
      </c>
      <c r="J325" t="s">
        <v>619</v>
      </c>
      <c r="K325" t="s">
        <v>907</v>
      </c>
      <c r="M325">
        <v>20</v>
      </c>
      <c r="P325" t="s">
        <v>46</v>
      </c>
      <c r="W325">
        <v>0.0</v>
      </c>
      <c r="X325">
        <v>0.0</v>
      </c>
      <c r="Y325">
        <v>0.0</v>
      </c>
      <c r="Z325">
        <v>0.0</v>
      </c>
      <c r="AA325">
        <v>0.0</v>
      </c>
      <c r="AB325">
        <v>0.0</v>
      </c>
      <c r="AC325">
        <v>0.0</v>
      </c>
      <c r="AD325">
        <v>0.0</v>
      </c>
    </row>
    <row r="326" spans="1:33">
      <c r="A326" t="s">
        <v>910</v>
      </c>
      <c r="B326" t="s">
        <v>911</v>
      </c>
      <c r="C326" t="s">
        <v>618</v>
      </c>
      <c r="D326" t="s">
        <v>36</v>
      </c>
      <c r="E326" t="s">
        <v>37</v>
      </c>
      <c r="F326" t="s">
        <v>37</v>
      </c>
      <c r="G326" t="s">
        <v>37</v>
      </c>
      <c r="J326" t="s">
        <v>619</v>
      </c>
      <c r="K326" t="s">
        <v>907</v>
      </c>
      <c r="M326">
        <v>20</v>
      </c>
      <c r="P326" t="s">
        <v>46</v>
      </c>
      <c r="W326">
        <v>0.0</v>
      </c>
      <c r="X326">
        <v>0.0</v>
      </c>
      <c r="Y326">
        <v>0.0</v>
      </c>
      <c r="Z326">
        <v>0.0</v>
      </c>
      <c r="AA326">
        <v>0.0</v>
      </c>
      <c r="AB326">
        <v>0.0</v>
      </c>
      <c r="AC326">
        <v>0.0</v>
      </c>
      <c r="AD326">
        <v>0.0</v>
      </c>
    </row>
    <row r="327" spans="1:33">
      <c r="A327" t="s">
        <v>912</v>
      </c>
      <c r="B327" t="s">
        <v>913</v>
      </c>
      <c r="C327" t="s">
        <v>618</v>
      </c>
      <c r="D327" t="s">
        <v>36</v>
      </c>
      <c r="E327" t="s">
        <v>37</v>
      </c>
      <c r="F327" t="s">
        <v>37</v>
      </c>
      <c r="G327" t="s">
        <v>37</v>
      </c>
      <c r="J327" t="s">
        <v>619</v>
      </c>
      <c r="K327" t="s">
        <v>914</v>
      </c>
      <c r="M327">
        <v>6</v>
      </c>
      <c r="P327" t="s">
        <v>46</v>
      </c>
      <c r="W327">
        <v>0.0</v>
      </c>
      <c r="X327">
        <v>0.0</v>
      </c>
      <c r="Y327">
        <v>0.0</v>
      </c>
      <c r="Z327">
        <v>0.0</v>
      </c>
      <c r="AA327">
        <v>0.0</v>
      </c>
      <c r="AB327">
        <v>0.0</v>
      </c>
      <c r="AC327">
        <v>0.0</v>
      </c>
      <c r="AD327">
        <v>0.0</v>
      </c>
      <c r="AG327" t="str">
        <f>HYPERLINK("https://fwc26.smmarta.com/nomenclature/937/images-download", "Download")</f>
        <v>0</v>
      </c>
    </row>
    <row r="328" spans="1:33">
      <c r="A328" t="s">
        <v>915</v>
      </c>
      <c r="B328" t="s">
        <v>916</v>
      </c>
      <c r="C328" t="s">
        <v>618</v>
      </c>
      <c r="D328" t="s">
        <v>36</v>
      </c>
      <c r="E328" t="s">
        <v>37</v>
      </c>
      <c r="F328" t="s">
        <v>37</v>
      </c>
      <c r="G328" t="s">
        <v>37</v>
      </c>
      <c r="J328" t="s">
        <v>619</v>
      </c>
      <c r="K328" t="s">
        <v>917</v>
      </c>
      <c r="M328">
        <v>6</v>
      </c>
      <c r="P328" t="s">
        <v>46</v>
      </c>
      <c r="W328">
        <v>0.0</v>
      </c>
      <c r="X328">
        <v>0.0</v>
      </c>
      <c r="Y328">
        <v>0.0</v>
      </c>
      <c r="Z328">
        <v>0.0</v>
      </c>
      <c r="AA328">
        <v>0.0</v>
      </c>
      <c r="AB328">
        <v>0.0</v>
      </c>
      <c r="AC328">
        <v>0.0</v>
      </c>
      <c r="AD328">
        <v>0.0</v>
      </c>
      <c r="AG328" t="str">
        <f>HYPERLINK("https://fwc26.smmarta.com/nomenclature/938/images-download", "Download")</f>
        <v>0</v>
      </c>
    </row>
    <row r="329" spans="1:33">
      <c r="A329" t="s">
        <v>918</v>
      </c>
      <c r="B329" t="s">
        <v>919</v>
      </c>
      <c r="C329" t="s">
        <v>618</v>
      </c>
      <c r="D329" t="s">
        <v>36</v>
      </c>
      <c r="E329" t="s">
        <v>37</v>
      </c>
      <c r="F329" t="s">
        <v>37</v>
      </c>
      <c r="G329" t="s">
        <v>37</v>
      </c>
      <c r="J329" t="s">
        <v>619</v>
      </c>
      <c r="K329" t="s">
        <v>920</v>
      </c>
      <c r="M329">
        <v>6</v>
      </c>
      <c r="P329" t="s">
        <v>46</v>
      </c>
      <c r="W329">
        <v>0.0</v>
      </c>
      <c r="X329">
        <v>0.0</v>
      </c>
      <c r="Y329">
        <v>0.0</v>
      </c>
      <c r="Z329">
        <v>0.0</v>
      </c>
      <c r="AA329">
        <v>0.0</v>
      </c>
      <c r="AB329">
        <v>0.0</v>
      </c>
      <c r="AC329">
        <v>0.0</v>
      </c>
      <c r="AD329">
        <v>0.0</v>
      </c>
      <c r="AG329" t="str">
        <f>HYPERLINK("https://fwc26.smmarta.com/nomenclature/939/images-download", "Download")</f>
        <v>0</v>
      </c>
    </row>
    <row r="330" spans="1:33">
      <c r="A330" t="s">
        <v>921</v>
      </c>
      <c r="B330" t="s">
        <v>922</v>
      </c>
      <c r="C330" t="s">
        <v>618</v>
      </c>
      <c r="D330" t="s">
        <v>36</v>
      </c>
      <c r="E330" t="s">
        <v>37</v>
      </c>
      <c r="F330" t="s">
        <v>37</v>
      </c>
      <c r="G330" t="s">
        <v>37</v>
      </c>
      <c r="H330">
        <v>1</v>
      </c>
      <c r="J330" t="s">
        <v>619</v>
      </c>
      <c r="K330" t="s">
        <v>923</v>
      </c>
      <c r="M330">
        <v>6</v>
      </c>
      <c r="P330" t="s">
        <v>46</v>
      </c>
      <c r="W330">
        <v>0.0</v>
      </c>
      <c r="X330">
        <v>0.0</v>
      </c>
      <c r="Y330">
        <v>0.0</v>
      </c>
      <c r="Z330">
        <v>0.0</v>
      </c>
      <c r="AA330">
        <v>0.0</v>
      </c>
      <c r="AB330">
        <v>0.0</v>
      </c>
      <c r="AC330">
        <v>0.0</v>
      </c>
      <c r="AD330">
        <v>0.0</v>
      </c>
      <c r="AG330" t="str">
        <f>HYPERLINK("https://fwc26.smmarta.com/nomenclature/1243/images-download", "Download")</f>
        <v>0</v>
      </c>
    </row>
    <row r="331" spans="1:33">
      <c r="A331" t="s">
        <v>924</v>
      </c>
      <c r="B331" t="s">
        <v>925</v>
      </c>
      <c r="C331" t="s">
        <v>618</v>
      </c>
      <c r="D331" t="s">
        <v>36</v>
      </c>
      <c r="E331" t="s">
        <v>37</v>
      </c>
      <c r="F331" t="s">
        <v>37</v>
      </c>
      <c r="G331" t="s">
        <v>37</v>
      </c>
      <c r="H331">
        <v>1</v>
      </c>
      <c r="J331" t="s">
        <v>619</v>
      </c>
      <c r="K331" t="s">
        <v>926</v>
      </c>
      <c r="M331">
        <v>6</v>
      </c>
      <c r="P331" t="s">
        <v>46</v>
      </c>
      <c r="W331">
        <v>0.0</v>
      </c>
      <c r="X331">
        <v>0.0</v>
      </c>
      <c r="Y331">
        <v>0.0</v>
      </c>
      <c r="Z331">
        <v>0.0</v>
      </c>
      <c r="AA331">
        <v>0.0</v>
      </c>
      <c r="AB331">
        <v>0.0</v>
      </c>
      <c r="AC331">
        <v>0.0</v>
      </c>
      <c r="AD331">
        <v>0.0</v>
      </c>
      <c r="AG331" t="str">
        <f>HYPERLINK("https://fwc26.smmarta.com/nomenclature/1244/images-download", "Download")</f>
        <v>0</v>
      </c>
    </row>
    <row r="332" spans="1:33">
      <c r="A332" t="s">
        <v>927</v>
      </c>
      <c r="B332" t="s">
        <v>928</v>
      </c>
      <c r="C332" t="s">
        <v>618</v>
      </c>
      <c r="D332" t="s">
        <v>36</v>
      </c>
      <c r="E332" t="s">
        <v>37</v>
      </c>
      <c r="F332" t="s">
        <v>37</v>
      </c>
      <c r="G332" t="s">
        <v>37</v>
      </c>
      <c r="H332">
        <v>1</v>
      </c>
      <c r="J332" t="s">
        <v>619</v>
      </c>
      <c r="K332" t="s">
        <v>929</v>
      </c>
      <c r="M332">
        <v>6</v>
      </c>
      <c r="P332" t="s">
        <v>46</v>
      </c>
      <c r="W332">
        <v>0.0</v>
      </c>
      <c r="X332">
        <v>0.0</v>
      </c>
      <c r="Y332">
        <v>0.0</v>
      </c>
      <c r="Z332">
        <v>0.0</v>
      </c>
      <c r="AA332">
        <v>0.0</v>
      </c>
      <c r="AB332">
        <v>0.0</v>
      </c>
      <c r="AC332">
        <v>0.0</v>
      </c>
      <c r="AD332">
        <v>0.0</v>
      </c>
      <c r="AG332" t="str">
        <f>HYPERLINK("https://fwc26.smmarta.com/nomenclature/1245/images-download", "Download")</f>
        <v>0</v>
      </c>
    </row>
    <row r="333" spans="1:33">
      <c r="A333" t="s">
        <v>930</v>
      </c>
      <c r="B333" t="s">
        <v>931</v>
      </c>
      <c r="C333" t="s">
        <v>618</v>
      </c>
      <c r="D333" t="s">
        <v>36</v>
      </c>
      <c r="E333" t="s">
        <v>37</v>
      </c>
      <c r="F333" t="s">
        <v>37</v>
      </c>
      <c r="G333" t="s">
        <v>37</v>
      </c>
      <c r="J333" t="s">
        <v>619</v>
      </c>
      <c r="K333" t="s">
        <v>932</v>
      </c>
      <c r="M333">
        <v>137</v>
      </c>
      <c r="P333" t="s">
        <v>46</v>
      </c>
      <c r="W333">
        <v>0.0</v>
      </c>
      <c r="X333">
        <v>0.0</v>
      </c>
      <c r="Y333">
        <v>0.0</v>
      </c>
      <c r="Z333">
        <v>0.0</v>
      </c>
      <c r="AA333">
        <v>0.0</v>
      </c>
      <c r="AB333">
        <v>0.0</v>
      </c>
      <c r="AC333">
        <v>0.0</v>
      </c>
      <c r="AD333">
        <v>0.0</v>
      </c>
      <c r="AG333" t="str">
        <f>HYPERLINK("https://fwc26.smmarta.com/nomenclature/940/images-download", "Download")</f>
        <v>0</v>
      </c>
    </row>
    <row r="334" spans="1:33">
      <c r="A334" t="s">
        <v>933</v>
      </c>
      <c r="B334" t="s">
        <v>934</v>
      </c>
      <c r="C334" t="s">
        <v>618</v>
      </c>
      <c r="D334" t="s">
        <v>36</v>
      </c>
      <c r="E334" t="s">
        <v>37</v>
      </c>
      <c r="F334" t="s">
        <v>37</v>
      </c>
      <c r="G334" t="s">
        <v>37</v>
      </c>
      <c r="H334">
        <v>1</v>
      </c>
      <c r="J334" t="s">
        <v>619</v>
      </c>
      <c r="K334" t="s">
        <v>935</v>
      </c>
      <c r="M334">
        <v>1390</v>
      </c>
      <c r="O334" t="s">
        <v>936</v>
      </c>
      <c r="P334" t="s">
        <v>46</v>
      </c>
      <c r="W334">
        <v>0.0</v>
      </c>
      <c r="X334">
        <v>0.0</v>
      </c>
      <c r="Y334">
        <v>0.0</v>
      </c>
      <c r="Z334">
        <v>0.0</v>
      </c>
      <c r="AA334">
        <v>0.0</v>
      </c>
      <c r="AB334">
        <v>0.0</v>
      </c>
      <c r="AC334">
        <v>0.0</v>
      </c>
      <c r="AD334">
        <v>0.0</v>
      </c>
    </row>
    <row r="335" spans="1:33">
      <c r="A335" t="s">
        <v>937</v>
      </c>
      <c r="B335" t="s">
        <v>938</v>
      </c>
      <c r="C335" t="s">
        <v>618</v>
      </c>
      <c r="D335" t="s">
        <v>36</v>
      </c>
      <c r="E335" t="s">
        <v>37</v>
      </c>
      <c r="F335" t="s">
        <v>37</v>
      </c>
      <c r="G335" t="s">
        <v>37</v>
      </c>
      <c r="J335" t="s">
        <v>619</v>
      </c>
      <c r="K335" t="s">
        <v>939</v>
      </c>
      <c r="M335">
        <v>12</v>
      </c>
      <c r="P335" t="s">
        <v>46</v>
      </c>
      <c r="W335">
        <v>0.0</v>
      </c>
      <c r="X335">
        <v>0.0</v>
      </c>
      <c r="Y335">
        <v>0.0</v>
      </c>
      <c r="Z335">
        <v>0.0</v>
      </c>
      <c r="AA335">
        <v>0.0</v>
      </c>
      <c r="AB335">
        <v>0.0</v>
      </c>
      <c r="AC335">
        <v>0.0</v>
      </c>
      <c r="AD335">
        <v>0.0</v>
      </c>
      <c r="AG335" t="str">
        <f>HYPERLINK("https://fwc26.smmarta.com/nomenclature/941/images-download", "Download")</f>
        <v>0</v>
      </c>
    </row>
    <row r="336" spans="1:33">
      <c r="A336" t="s">
        <v>940</v>
      </c>
      <c r="B336" t="s">
        <v>941</v>
      </c>
      <c r="C336" t="s">
        <v>618</v>
      </c>
      <c r="D336" t="s">
        <v>36</v>
      </c>
      <c r="E336" t="s">
        <v>37</v>
      </c>
      <c r="F336" t="s">
        <v>37</v>
      </c>
      <c r="G336" t="s">
        <v>37</v>
      </c>
      <c r="H336">
        <v>1</v>
      </c>
      <c r="J336" t="s">
        <v>619</v>
      </c>
      <c r="K336" t="s">
        <v>942</v>
      </c>
      <c r="M336">
        <v>12</v>
      </c>
      <c r="P336" t="s">
        <v>46</v>
      </c>
      <c r="W336">
        <v>0.0</v>
      </c>
      <c r="X336">
        <v>0.0</v>
      </c>
      <c r="Y336">
        <v>0.0</v>
      </c>
      <c r="Z336">
        <v>0.0</v>
      </c>
      <c r="AA336">
        <v>0.0</v>
      </c>
      <c r="AB336">
        <v>0.0</v>
      </c>
      <c r="AC336">
        <v>0.0</v>
      </c>
      <c r="AD336">
        <v>0.0</v>
      </c>
      <c r="AG336" t="str">
        <f>HYPERLINK("https://fwc26.smmarta.com/nomenclature/1250/images-download", "Download")</f>
        <v>0</v>
      </c>
    </row>
    <row r="337" spans="1:33">
      <c r="A337" t="s">
        <v>943</v>
      </c>
      <c r="B337" t="s">
        <v>944</v>
      </c>
      <c r="C337" t="s">
        <v>618</v>
      </c>
      <c r="D337" t="s">
        <v>36</v>
      </c>
      <c r="E337" t="s">
        <v>37</v>
      </c>
      <c r="F337" t="s">
        <v>37</v>
      </c>
      <c r="G337" t="s">
        <v>37</v>
      </c>
      <c r="J337" t="s">
        <v>619</v>
      </c>
      <c r="K337" t="s">
        <v>945</v>
      </c>
      <c r="M337">
        <v>248</v>
      </c>
      <c r="P337" t="s">
        <v>46</v>
      </c>
      <c r="W337">
        <v>0.0</v>
      </c>
      <c r="X337">
        <v>0.0</v>
      </c>
      <c r="Y337">
        <v>0.0</v>
      </c>
      <c r="Z337">
        <v>0.0</v>
      </c>
      <c r="AA337">
        <v>0.0</v>
      </c>
      <c r="AB337">
        <v>0.0</v>
      </c>
      <c r="AC337">
        <v>0.0</v>
      </c>
      <c r="AD337">
        <v>0.0</v>
      </c>
      <c r="AE337" t="s">
        <v>946</v>
      </c>
      <c r="AG337" t="str">
        <f>HYPERLINK("https://fwc26.smmarta.com/nomenclature/942/images-download", "Download")</f>
        <v>0</v>
      </c>
    </row>
    <row r="338" spans="1:33">
      <c r="A338" t="s">
        <v>947</v>
      </c>
      <c r="B338" t="s">
        <v>948</v>
      </c>
      <c r="C338" t="s">
        <v>618</v>
      </c>
      <c r="D338" t="s">
        <v>36</v>
      </c>
      <c r="E338" t="s">
        <v>37</v>
      </c>
      <c r="F338" t="s">
        <v>37</v>
      </c>
      <c r="G338" t="s">
        <v>37</v>
      </c>
      <c r="J338" t="s">
        <v>619</v>
      </c>
      <c r="K338" t="s">
        <v>949</v>
      </c>
      <c r="M338">
        <v>248</v>
      </c>
      <c r="P338" t="s">
        <v>46</v>
      </c>
      <c r="W338">
        <v>0.0</v>
      </c>
      <c r="X338">
        <v>0.0</v>
      </c>
      <c r="Y338">
        <v>0.0</v>
      </c>
      <c r="Z338">
        <v>0.0</v>
      </c>
      <c r="AA338">
        <v>0.0</v>
      </c>
      <c r="AB338">
        <v>0.0</v>
      </c>
      <c r="AC338">
        <v>0.0</v>
      </c>
      <c r="AD338">
        <v>0.0</v>
      </c>
      <c r="AG338" t="str">
        <f>HYPERLINK("https://fwc26.smmarta.com/nomenclature/943/images-download", "Download")</f>
        <v>0</v>
      </c>
    </row>
    <row r="339" spans="1:33">
      <c r="A339" t="s">
        <v>950</v>
      </c>
      <c r="B339" t="s">
        <v>951</v>
      </c>
      <c r="C339" t="s">
        <v>618</v>
      </c>
      <c r="D339" t="s">
        <v>36</v>
      </c>
      <c r="E339" t="s">
        <v>37</v>
      </c>
      <c r="F339" t="s">
        <v>37</v>
      </c>
      <c r="G339" t="s">
        <v>37</v>
      </c>
      <c r="H339">
        <v>1</v>
      </c>
      <c r="J339" t="s">
        <v>619</v>
      </c>
      <c r="K339" t="s">
        <v>945</v>
      </c>
      <c r="M339">
        <v>248</v>
      </c>
      <c r="P339" t="s">
        <v>46</v>
      </c>
      <c r="W339">
        <v>0.0</v>
      </c>
      <c r="X339">
        <v>0.0</v>
      </c>
      <c r="Y339">
        <v>0.0</v>
      </c>
      <c r="Z339">
        <v>0.0</v>
      </c>
      <c r="AA339">
        <v>0.0</v>
      </c>
      <c r="AB339">
        <v>0.0</v>
      </c>
      <c r="AC339">
        <v>0.0</v>
      </c>
      <c r="AD339">
        <v>0.0</v>
      </c>
      <c r="AE339" t="s">
        <v>946</v>
      </c>
    </row>
    <row r="340" spans="1:33">
      <c r="A340" t="s">
        <v>952</v>
      </c>
      <c r="B340" t="s">
        <v>953</v>
      </c>
      <c r="C340" t="s">
        <v>618</v>
      </c>
      <c r="D340" t="s">
        <v>36</v>
      </c>
      <c r="E340" t="s">
        <v>37</v>
      </c>
      <c r="F340" t="s">
        <v>37</v>
      </c>
      <c r="G340" t="s">
        <v>37</v>
      </c>
      <c r="H340">
        <v>1</v>
      </c>
      <c r="K340" t="s">
        <v>949</v>
      </c>
      <c r="M340">
        <v>248</v>
      </c>
      <c r="P340" t="s">
        <v>46</v>
      </c>
      <c r="W340">
        <v>0.0</v>
      </c>
      <c r="X340">
        <v>0.0</v>
      </c>
      <c r="Y340">
        <v>0.0</v>
      </c>
      <c r="Z340">
        <v>0.0</v>
      </c>
      <c r="AA340">
        <v>0.0</v>
      </c>
      <c r="AB340">
        <v>0.0</v>
      </c>
      <c r="AC340">
        <v>0.0</v>
      </c>
      <c r="AD340">
        <v>0.0</v>
      </c>
    </row>
    <row r="341" spans="1:33">
      <c r="A341" t="s">
        <v>954</v>
      </c>
      <c r="B341" t="s">
        <v>955</v>
      </c>
      <c r="C341" t="s">
        <v>618</v>
      </c>
      <c r="D341" t="s">
        <v>36</v>
      </c>
      <c r="E341" t="s">
        <v>37</v>
      </c>
      <c r="F341" t="s">
        <v>37</v>
      </c>
      <c r="G341" t="s">
        <v>37</v>
      </c>
      <c r="J341" t="s">
        <v>619</v>
      </c>
      <c r="K341" t="s">
        <v>956</v>
      </c>
      <c r="M341">
        <v>126.36</v>
      </c>
      <c r="P341" t="s">
        <v>46</v>
      </c>
      <c r="W341">
        <v>0.0</v>
      </c>
      <c r="X341">
        <v>0.0</v>
      </c>
      <c r="Y341">
        <v>0.0</v>
      </c>
      <c r="Z341">
        <v>0.0</v>
      </c>
      <c r="AA341">
        <v>0.0</v>
      </c>
      <c r="AB341">
        <v>0.0</v>
      </c>
      <c r="AC341">
        <v>0.0</v>
      </c>
      <c r="AD341">
        <v>0.0</v>
      </c>
      <c r="AG341" t="str">
        <f>HYPERLINK("https://fwc26.smmarta.com/nomenclature/944/images-download", "Download")</f>
        <v>0</v>
      </c>
    </row>
    <row r="342" spans="1:33">
      <c r="A342" t="s">
        <v>957</v>
      </c>
      <c r="B342" t="s">
        <v>958</v>
      </c>
      <c r="C342" t="s">
        <v>618</v>
      </c>
      <c r="D342" t="s">
        <v>36</v>
      </c>
      <c r="E342" t="s">
        <v>37</v>
      </c>
      <c r="F342" t="s">
        <v>37</v>
      </c>
      <c r="G342" t="s">
        <v>37</v>
      </c>
      <c r="H342">
        <v>1</v>
      </c>
      <c r="J342" t="s">
        <v>619</v>
      </c>
      <c r="K342" t="s">
        <v>956</v>
      </c>
      <c r="M342">
        <v>126.36</v>
      </c>
      <c r="P342" t="s">
        <v>46</v>
      </c>
      <c r="W342">
        <v>0.0</v>
      </c>
      <c r="X342">
        <v>0.0</v>
      </c>
      <c r="Y342">
        <v>0.0</v>
      </c>
      <c r="Z342">
        <v>0.0</v>
      </c>
      <c r="AA342">
        <v>0.0</v>
      </c>
      <c r="AB342">
        <v>0.0</v>
      </c>
      <c r="AC342">
        <v>0.0</v>
      </c>
      <c r="AD342">
        <v>0.0</v>
      </c>
      <c r="AG342" t="str">
        <f>HYPERLINK("https://fwc26.smmarta.com/nomenclature/1246/images-download", "Download")</f>
        <v>0</v>
      </c>
    </row>
    <row r="343" spans="1:33">
      <c r="A343" t="s">
        <v>959</v>
      </c>
      <c r="B343" t="s">
        <v>960</v>
      </c>
      <c r="C343" t="s">
        <v>618</v>
      </c>
      <c r="D343" t="s">
        <v>204</v>
      </c>
      <c r="E343" t="s">
        <v>37</v>
      </c>
      <c r="F343" t="s">
        <v>37</v>
      </c>
      <c r="G343" t="s">
        <v>37</v>
      </c>
      <c r="J343" t="s">
        <v>619</v>
      </c>
      <c r="K343" t="s">
        <v>961</v>
      </c>
      <c r="M343">
        <v>24445</v>
      </c>
      <c r="O343" t="s">
        <v>960</v>
      </c>
      <c r="P343" t="s">
        <v>46</v>
      </c>
      <c r="W343">
        <v>0.0</v>
      </c>
      <c r="X343">
        <v>0.0</v>
      </c>
      <c r="Y343">
        <v>0.0</v>
      </c>
      <c r="Z343">
        <v>0.0</v>
      </c>
      <c r="AA343">
        <v>0.0</v>
      </c>
      <c r="AB343">
        <v>0.0</v>
      </c>
      <c r="AC343">
        <v>0.0</v>
      </c>
      <c r="AD343">
        <v>0.0</v>
      </c>
      <c r="AE343" t="s">
        <v>962</v>
      </c>
      <c r="AG343" t="str">
        <f>HYPERLINK("https://fwc26.smmarta.com/nomenclature/945/images-download", "Download")</f>
        <v>0</v>
      </c>
    </row>
    <row r="344" spans="1:33">
      <c r="A344" t="s">
        <v>963</v>
      </c>
      <c r="B344" t="s">
        <v>964</v>
      </c>
      <c r="C344" t="s">
        <v>618</v>
      </c>
      <c r="D344" t="s">
        <v>641</v>
      </c>
      <c r="E344" t="s">
        <v>37</v>
      </c>
      <c r="F344" t="s">
        <v>37</v>
      </c>
      <c r="G344" t="s">
        <v>37</v>
      </c>
      <c r="J344" t="s">
        <v>619</v>
      </c>
      <c r="W344">
        <v>0.0</v>
      </c>
      <c r="X344">
        <v>0.0</v>
      </c>
      <c r="Y344">
        <v>0.0</v>
      </c>
      <c r="Z344">
        <v>0.0</v>
      </c>
      <c r="AA344">
        <v>0.0</v>
      </c>
      <c r="AB344">
        <v>0.0</v>
      </c>
      <c r="AC344">
        <v>0.0</v>
      </c>
      <c r="AD344">
        <v>0.0</v>
      </c>
    </row>
    <row r="345" spans="1:33">
      <c r="A345" t="s">
        <v>965</v>
      </c>
      <c r="B345" t="s">
        <v>966</v>
      </c>
      <c r="C345" t="s">
        <v>618</v>
      </c>
      <c r="D345" t="s">
        <v>168</v>
      </c>
      <c r="E345" t="s">
        <v>37</v>
      </c>
      <c r="F345" t="s">
        <v>37</v>
      </c>
      <c r="G345" t="s">
        <v>37</v>
      </c>
      <c r="J345" t="s">
        <v>619</v>
      </c>
      <c r="W345">
        <v>0.0</v>
      </c>
      <c r="X345">
        <v>0.0</v>
      </c>
      <c r="Y345">
        <v>0.0</v>
      </c>
      <c r="Z345">
        <v>0.0</v>
      </c>
      <c r="AA345">
        <v>0.0</v>
      </c>
      <c r="AB345">
        <v>0.0</v>
      </c>
      <c r="AC345">
        <v>0.0</v>
      </c>
      <c r="AD345">
        <v>0.0</v>
      </c>
    </row>
    <row r="346" spans="1:33">
      <c r="A346" t="s">
        <v>967</v>
      </c>
      <c r="B346" t="s">
        <v>968</v>
      </c>
      <c r="C346" t="s">
        <v>618</v>
      </c>
      <c r="D346" t="s">
        <v>168</v>
      </c>
      <c r="E346" t="s">
        <v>37</v>
      </c>
      <c r="F346" t="s">
        <v>37</v>
      </c>
      <c r="G346" t="s">
        <v>37</v>
      </c>
      <c r="J346" t="s">
        <v>619</v>
      </c>
      <c r="W346">
        <v>0.0</v>
      </c>
      <c r="X346">
        <v>0.0</v>
      </c>
      <c r="Y346">
        <v>0.0</v>
      </c>
      <c r="Z346">
        <v>0.0</v>
      </c>
      <c r="AA346">
        <v>0.0</v>
      </c>
      <c r="AB346">
        <v>0.0</v>
      </c>
      <c r="AC346">
        <v>0.0</v>
      </c>
      <c r="AD346">
        <v>0.0</v>
      </c>
    </row>
    <row r="347" spans="1:33">
      <c r="A347" t="s">
        <v>969</v>
      </c>
      <c r="B347" t="s">
        <v>970</v>
      </c>
      <c r="C347" t="s">
        <v>618</v>
      </c>
      <c r="D347" t="s">
        <v>204</v>
      </c>
      <c r="E347" t="s">
        <v>37</v>
      </c>
      <c r="F347" t="s">
        <v>37</v>
      </c>
      <c r="G347" t="s">
        <v>37</v>
      </c>
      <c r="H347">
        <v>1</v>
      </c>
      <c r="J347" t="s">
        <v>619</v>
      </c>
      <c r="K347" t="s">
        <v>971</v>
      </c>
      <c r="M347">
        <v>8500</v>
      </c>
      <c r="O347" t="s">
        <v>970</v>
      </c>
      <c r="P347" t="s">
        <v>46</v>
      </c>
      <c r="W347">
        <v>0.0</v>
      </c>
      <c r="X347">
        <v>0.0</v>
      </c>
      <c r="Y347">
        <v>0.0</v>
      </c>
      <c r="Z347">
        <v>0.0</v>
      </c>
      <c r="AA347">
        <v>0.0</v>
      </c>
      <c r="AB347">
        <v>0.0</v>
      </c>
      <c r="AC347">
        <v>0.0</v>
      </c>
      <c r="AD347">
        <v>0.0</v>
      </c>
      <c r="AE347" t="s">
        <v>972</v>
      </c>
    </row>
    <row r="348" spans="1:33">
      <c r="A348" t="s">
        <v>973</v>
      </c>
      <c r="B348" t="s">
        <v>974</v>
      </c>
      <c r="C348" t="s">
        <v>618</v>
      </c>
      <c r="D348" t="s">
        <v>36</v>
      </c>
      <c r="E348" t="s">
        <v>37</v>
      </c>
      <c r="F348" t="s">
        <v>37</v>
      </c>
      <c r="G348" t="s">
        <v>37</v>
      </c>
      <c r="H348">
        <v>1</v>
      </c>
      <c r="J348" t="s">
        <v>619</v>
      </c>
      <c r="K348" t="s">
        <v>975</v>
      </c>
      <c r="M348">
        <v>40</v>
      </c>
      <c r="P348" t="s">
        <v>46</v>
      </c>
      <c r="W348">
        <v>0.0</v>
      </c>
      <c r="X348">
        <v>0.0</v>
      </c>
      <c r="Y348">
        <v>0.0</v>
      </c>
      <c r="Z348">
        <v>0.0</v>
      </c>
      <c r="AA348">
        <v>0.0</v>
      </c>
      <c r="AB348">
        <v>0.0</v>
      </c>
      <c r="AC348">
        <v>0.0</v>
      </c>
      <c r="AD348">
        <v>0.0</v>
      </c>
    </row>
    <row r="349" spans="1:33">
      <c r="A349" t="s">
        <v>976</v>
      </c>
      <c r="B349" t="s">
        <v>977</v>
      </c>
      <c r="C349" t="s">
        <v>618</v>
      </c>
      <c r="D349" t="s">
        <v>36</v>
      </c>
      <c r="E349" t="s">
        <v>37</v>
      </c>
      <c r="F349" t="s">
        <v>37</v>
      </c>
      <c r="G349" t="s">
        <v>37</v>
      </c>
      <c r="H349">
        <v>1</v>
      </c>
      <c r="J349" t="s">
        <v>619</v>
      </c>
      <c r="K349" t="s">
        <v>978</v>
      </c>
      <c r="M349">
        <v>10</v>
      </c>
      <c r="P349" t="s">
        <v>46</v>
      </c>
      <c r="W349">
        <v>0.0</v>
      </c>
      <c r="X349">
        <v>0.0</v>
      </c>
      <c r="Y349">
        <v>0.0</v>
      </c>
      <c r="Z349">
        <v>0.0</v>
      </c>
      <c r="AA349">
        <v>0.0</v>
      </c>
      <c r="AB349">
        <v>0.0</v>
      </c>
      <c r="AC349">
        <v>0.0</v>
      </c>
      <c r="AD349">
        <v>0.0</v>
      </c>
    </row>
    <row r="350" spans="1:33">
      <c r="A350" t="s">
        <v>979</v>
      </c>
      <c r="B350" t="s">
        <v>980</v>
      </c>
      <c r="C350" t="s">
        <v>618</v>
      </c>
      <c r="D350" t="s">
        <v>36</v>
      </c>
      <c r="E350" t="s">
        <v>37</v>
      </c>
      <c r="F350" t="s">
        <v>37</v>
      </c>
      <c r="G350" t="s">
        <v>37</v>
      </c>
      <c r="J350" t="s">
        <v>619</v>
      </c>
      <c r="K350" t="s">
        <v>981</v>
      </c>
      <c r="M350">
        <v>9</v>
      </c>
      <c r="P350" t="s">
        <v>46</v>
      </c>
      <c r="W350">
        <v>0.0</v>
      </c>
      <c r="X350">
        <v>0.0</v>
      </c>
      <c r="Y350">
        <v>0.0</v>
      </c>
      <c r="Z350">
        <v>0.0</v>
      </c>
      <c r="AA350">
        <v>0.0</v>
      </c>
      <c r="AB350">
        <v>0.0</v>
      </c>
      <c r="AC350">
        <v>0.0</v>
      </c>
      <c r="AD350">
        <v>0.0</v>
      </c>
      <c r="AG350" t="str">
        <f>HYPERLINK("https://fwc26.smmarta.com/nomenclature/1233/images-download", "Download")</f>
        <v>0</v>
      </c>
    </row>
    <row r="351" spans="1:33">
      <c r="A351" t="s">
        <v>982</v>
      </c>
      <c r="B351" t="s">
        <v>983</v>
      </c>
      <c r="C351" t="s">
        <v>618</v>
      </c>
      <c r="D351" t="s">
        <v>36</v>
      </c>
      <c r="E351" t="s">
        <v>37</v>
      </c>
      <c r="F351" t="s">
        <v>37</v>
      </c>
      <c r="G351" t="s">
        <v>37</v>
      </c>
      <c r="J351" t="s">
        <v>619</v>
      </c>
      <c r="K351" t="s">
        <v>984</v>
      </c>
      <c r="M351">
        <v>9</v>
      </c>
      <c r="P351" t="s">
        <v>46</v>
      </c>
      <c r="W351">
        <v>0.0</v>
      </c>
      <c r="X351">
        <v>0.0</v>
      </c>
      <c r="Y351">
        <v>0.0</v>
      </c>
      <c r="Z351">
        <v>0.0</v>
      </c>
      <c r="AA351">
        <v>0.0</v>
      </c>
      <c r="AB351">
        <v>0.0</v>
      </c>
      <c r="AC351">
        <v>0.0</v>
      </c>
      <c r="AD351">
        <v>0.0</v>
      </c>
      <c r="AG351" t="str">
        <f>HYPERLINK("https://fwc26.smmarta.com/nomenclature/1251/images-download", "Download")</f>
        <v>0</v>
      </c>
    </row>
    <row r="352" spans="1:33">
      <c r="A352" t="s">
        <v>985</v>
      </c>
      <c r="B352" t="s">
        <v>986</v>
      </c>
      <c r="C352" t="s">
        <v>35</v>
      </c>
      <c r="D352" t="s">
        <v>36</v>
      </c>
      <c r="E352" t="s">
        <v>37</v>
      </c>
      <c r="F352" t="s">
        <v>37</v>
      </c>
      <c r="G352" t="s">
        <v>37</v>
      </c>
      <c r="H352">
        <v>1</v>
      </c>
      <c r="J352" t="s">
        <v>124</v>
      </c>
      <c r="M352">
        <v>107</v>
      </c>
      <c r="W352">
        <v>72.0</v>
      </c>
      <c r="X352">
        <v>12.0</v>
      </c>
      <c r="Y352">
        <v>17.5</v>
      </c>
      <c r="Z352">
        <v>0.0</v>
      </c>
      <c r="AA352">
        <v>0.0</v>
      </c>
      <c r="AB352">
        <v>0.0</v>
      </c>
      <c r="AC352">
        <v>0.0</v>
      </c>
      <c r="AD352">
        <v>0.0</v>
      </c>
    </row>
    <row r="353" spans="1:33">
      <c r="A353" t="s">
        <v>987</v>
      </c>
      <c r="B353" t="s">
        <v>988</v>
      </c>
      <c r="C353" t="s">
        <v>35</v>
      </c>
      <c r="D353" t="s">
        <v>36</v>
      </c>
      <c r="E353" t="s">
        <v>37</v>
      </c>
      <c r="F353" t="s">
        <v>37</v>
      </c>
      <c r="G353" t="s">
        <v>37</v>
      </c>
      <c r="J353" t="s">
        <v>43</v>
      </c>
      <c r="K353">
        <v>321980451</v>
      </c>
      <c r="L353" t="s">
        <v>989</v>
      </c>
      <c r="M353">
        <v>68.57</v>
      </c>
      <c r="O353" t="s">
        <v>990</v>
      </c>
      <c r="P353" t="s">
        <v>46</v>
      </c>
      <c r="Q353">
        <v>9401.79</v>
      </c>
      <c r="R353" t="s">
        <v>48</v>
      </c>
      <c r="S353">
        <v>48</v>
      </c>
      <c r="T353">
        <v>1</v>
      </c>
      <c r="U353">
        <v>48</v>
      </c>
      <c r="V353">
        <v>1</v>
      </c>
      <c r="W353">
        <v>0.0</v>
      </c>
      <c r="X353">
        <v>0.0</v>
      </c>
      <c r="Y353">
        <v>0.0</v>
      </c>
      <c r="Z353">
        <v>0.0</v>
      </c>
      <c r="AA353">
        <v>0.0</v>
      </c>
      <c r="AB353">
        <v>0.0</v>
      </c>
      <c r="AC353">
        <v>0.0</v>
      </c>
      <c r="AD353">
        <v>0.0</v>
      </c>
      <c r="AE353" t="s">
        <v>121</v>
      </c>
      <c r="AG353" t="str">
        <f>HYPERLINK("https://fwc26.smmarta.com/nomenclature/758/images-download", "Download")</f>
        <v>0</v>
      </c>
    </row>
    <row r="354" spans="1:33">
      <c r="A354" t="s">
        <v>991</v>
      </c>
      <c r="B354" t="s">
        <v>992</v>
      </c>
      <c r="C354" t="s">
        <v>35</v>
      </c>
      <c r="D354" t="s">
        <v>36</v>
      </c>
      <c r="E354" t="s">
        <v>37</v>
      </c>
      <c r="F354" t="s">
        <v>37</v>
      </c>
      <c r="G354" t="s">
        <v>37</v>
      </c>
      <c r="J354" t="s">
        <v>43</v>
      </c>
      <c r="K354">
        <v>333289352</v>
      </c>
      <c r="L354" t="s">
        <v>993</v>
      </c>
      <c r="M354">
        <v>72.99</v>
      </c>
      <c r="O354" t="s">
        <v>994</v>
      </c>
      <c r="P354" t="s">
        <v>46</v>
      </c>
      <c r="Q354">
        <v>9403.2</v>
      </c>
      <c r="R354" t="s">
        <v>48</v>
      </c>
      <c r="W354">
        <v>0.0</v>
      </c>
      <c r="X354">
        <v>0.0</v>
      </c>
      <c r="Y354">
        <v>0.0</v>
      </c>
      <c r="Z354">
        <v>0.0</v>
      </c>
      <c r="AA354">
        <v>0.0</v>
      </c>
      <c r="AB354">
        <v>0.0</v>
      </c>
      <c r="AC354">
        <v>0.0</v>
      </c>
      <c r="AD354">
        <v>0.0</v>
      </c>
      <c r="AG354" t="str">
        <f>HYPERLINK("https://fwc26.smmarta.com/nomenclature/1255/images-download", "Download")</f>
        <v>0</v>
      </c>
    </row>
    <row r="355" spans="1:33">
      <c r="A355" t="s">
        <v>995</v>
      </c>
      <c r="B355" t="s">
        <v>996</v>
      </c>
      <c r="C355" t="s">
        <v>35</v>
      </c>
      <c r="D355" t="s">
        <v>36</v>
      </c>
      <c r="E355" t="s">
        <v>37</v>
      </c>
      <c r="F355" t="s">
        <v>37</v>
      </c>
      <c r="G355" t="s">
        <v>113</v>
      </c>
      <c r="H355">
        <v>1</v>
      </c>
      <c r="J355" t="s">
        <v>62</v>
      </c>
      <c r="M355">
        <v>455</v>
      </c>
      <c r="P355" t="s">
        <v>63</v>
      </c>
      <c r="Q355" t="s">
        <v>997</v>
      </c>
      <c r="R355" t="s">
        <v>48</v>
      </c>
      <c r="S355">
        <v>4</v>
      </c>
      <c r="T355">
        <v>1</v>
      </c>
      <c r="U355">
        <v>4</v>
      </c>
      <c r="V355">
        <v>1</v>
      </c>
      <c r="W355">
        <v>0.0</v>
      </c>
      <c r="X355">
        <v>0.0</v>
      </c>
      <c r="Y355">
        <v>0.0</v>
      </c>
      <c r="Z355">
        <v>0.0</v>
      </c>
      <c r="AA355">
        <v>0.0</v>
      </c>
      <c r="AB355">
        <v>0.0</v>
      </c>
      <c r="AC355">
        <v>0.0</v>
      </c>
      <c r="AD355">
        <v>0.0</v>
      </c>
      <c r="AG355" t="str">
        <f>HYPERLINK("https://fwc26.smmarta.com/nomenclature/628/images-download", "Download")</f>
        <v>0</v>
      </c>
    </row>
    <row r="356" spans="1:33">
      <c r="A356" t="s">
        <v>998</v>
      </c>
      <c r="B356" t="s">
        <v>999</v>
      </c>
      <c r="C356" t="s">
        <v>35</v>
      </c>
      <c r="D356" t="s">
        <v>36</v>
      </c>
      <c r="E356" t="s">
        <v>37</v>
      </c>
      <c r="F356" t="s">
        <v>37</v>
      </c>
      <c r="G356" t="s">
        <v>113</v>
      </c>
      <c r="J356" t="s">
        <v>62</v>
      </c>
      <c r="M356">
        <v>791</v>
      </c>
      <c r="R356" t="s">
        <v>48</v>
      </c>
      <c r="S356">
        <v>2</v>
      </c>
      <c r="T356">
        <v>1</v>
      </c>
      <c r="U356">
        <v>2</v>
      </c>
      <c r="V356">
        <v>1</v>
      </c>
      <c r="W356">
        <v>0.0</v>
      </c>
      <c r="X356">
        <v>0.0</v>
      </c>
      <c r="Y356">
        <v>0.0</v>
      </c>
      <c r="Z356">
        <v>0.0</v>
      </c>
      <c r="AA356">
        <v>0.0</v>
      </c>
      <c r="AB356">
        <v>0.0</v>
      </c>
      <c r="AC356">
        <v>0.0</v>
      </c>
      <c r="AD356">
        <v>0.0</v>
      </c>
    </row>
    <row r="357" spans="1:33">
      <c r="A357" t="s">
        <v>1000</v>
      </c>
      <c r="B357" t="s">
        <v>1001</v>
      </c>
      <c r="C357" t="s">
        <v>35</v>
      </c>
      <c r="D357" t="s">
        <v>36</v>
      </c>
      <c r="E357" t="s">
        <v>37</v>
      </c>
      <c r="F357" t="s">
        <v>37</v>
      </c>
      <c r="G357" t="s">
        <v>37</v>
      </c>
      <c r="H357">
        <v>1</v>
      </c>
      <c r="J357" t="s">
        <v>124</v>
      </c>
      <c r="M357">
        <v>390</v>
      </c>
      <c r="W357">
        <v>18.0</v>
      </c>
      <c r="X357">
        <v>36.0</v>
      </c>
      <c r="Y357">
        <v>72.0</v>
      </c>
      <c r="Z357">
        <v>0.0</v>
      </c>
      <c r="AA357">
        <v>0.0</v>
      </c>
      <c r="AB357">
        <v>0.0</v>
      </c>
      <c r="AC357">
        <v>0.0</v>
      </c>
      <c r="AD357">
        <v>0.0</v>
      </c>
    </row>
    <row r="358" spans="1:33">
      <c r="A358" t="s">
        <v>1002</v>
      </c>
      <c r="B358" t="s">
        <v>999</v>
      </c>
      <c r="C358" t="s">
        <v>35</v>
      </c>
      <c r="D358" t="s">
        <v>36</v>
      </c>
      <c r="E358" t="s">
        <v>37</v>
      </c>
      <c r="F358" t="s">
        <v>37</v>
      </c>
      <c r="G358" t="s">
        <v>37</v>
      </c>
      <c r="H358">
        <v>1</v>
      </c>
      <c r="J358" t="s">
        <v>119</v>
      </c>
      <c r="M358">
        <v>418</v>
      </c>
      <c r="P358" t="s">
        <v>46</v>
      </c>
      <c r="Q358" t="s">
        <v>1003</v>
      </c>
      <c r="R358" t="s">
        <v>48</v>
      </c>
      <c r="U358">
        <v>10</v>
      </c>
      <c r="V358">
        <v>2</v>
      </c>
      <c r="W358">
        <v>0.0</v>
      </c>
      <c r="X358">
        <v>0.0</v>
      </c>
      <c r="Y358">
        <v>0.0</v>
      </c>
      <c r="Z358">
        <v>0.0</v>
      </c>
      <c r="AA358">
        <v>0.0</v>
      </c>
      <c r="AB358">
        <v>0.0</v>
      </c>
      <c r="AC358">
        <v>0.0</v>
      </c>
      <c r="AD358">
        <v>0.0</v>
      </c>
      <c r="AE358" t="s">
        <v>411</v>
      </c>
    </row>
    <row r="359" spans="1:33">
      <c r="A359" t="s">
        <v>1004</v>
      </c>
      <c r="B359" t="s">
        <v>1005</v>
      </c>
      <c r="C359" t="s">
        <v>35</v>
      </c>
      <c r="D359" t="s">
        <v>36</v>
      </c>
      <c r="E359" t="s">
        <v>37</v>
      </c>
      <c r="F359" t="s">
        <v>37</v>
      </c>
      <c r="G359" t="s">
        <v>37</v>
      </c>
      <c r="H359">
        <v>1</v>
      </c>
      <c r="J359" t="s">
        <v>124</v>
      </c>
      <c r="M359">
        <v>534</v>
      </c>
      <c r="W359">
        <v>0.0</v>
      </c>
      <c r="X359">
        <v>0.0</v>
      </c>
      <c r="Y359">
        <v>0.0</v>
      </c>
      <c r="Z359">
        <v>0.0</v>
      </c>
      <c r="AA359">
        <v>0.0</v>
      </c>
      <c r="AB359">
        <v>0.0</v>
      </c>
      <c r="AC359">
        <v>0.0</v>
      </c>
      <c r="AD359">
        <v>0.0</v>
      </c>
    </row>
    <row r="360" spans="1:33">
      <c r="A360" t="s">
        <v>1006</v>
      </c>
      <c r="B360" t="s">
        <v>1007</v>
      </c>
      <c r="C360" t="s">
        <v>35</v>
      </c>
      <c r="D360" t="s">
        <v>36</v>
      </c>
      <c r="E360" t="s">
        <v>37</v>
      </c>
      <c r="F360" t="s">
        <v>37</v>
      </c>
      <c r="G360" t="s">
        <v>37</v>
      </c>
      <c r="H360">
        <v>1</v>
      </c>
      <c r="I360">
        <v>3761</v>
      </c>
      <c r="J360" t="s">
        <v>38</v>
      </c>
      <c r="M360">
        <v>183</v>
      </c>
      <c r="N360" t="s">
        <v>39</v>
      </c>
      <c r="W360">
        <v>23.82</v>
      </c>
      <c r="X360">
        <v>25.79</v>
      </c>
      <c r="Y360">
        <v>40.0</v>
      </c>
      <c r="Z360">
        <v>0.0</v>
      </c>
      <c r="AA360">
        <v>0.0</v>
      </c>
      <c r="AB360">
        <v>0.0</v>
      </c>
      <c r="AC360">
        <v>0.0</v>
      </c>
      <c r="AD360">
        <v>0.0</v>
      </c>
    </row>
    <row r="361" spans="1:33">
      <c r="A361" t="s">
        <v>1008</v>
      </c>
      <c r="B361" t="s">
        <v>1009</v>
      </c>
      <c r="C361" t="s">
        <v>35</v>
      </c>
      <c r="D361" t="s">
        <v>36</v>
      </c>
      <c r="E361" t="s">
        <v>37</v>
      </c>
      <c r="F361" t="s">
        <v>37</v>
      </c>
      <c r="G361" t="s">
        <v>37</v>
      </c>
      <c r="H361">
        <v>1</v>
      </c>
      <c r="J361" t="s">
        <v>119</v>
      </c>
      <c r="M361">
        <v>176</v>
      </c>
      <c r="P361">
        <v>9817</v>
      </c>
      <c r="Q361" t="s">
        <v>1010</v>
      </c>
      <c r="R361" t="s">
        <v>48</v>
      </c>
      <c r="U361">
        <v>12</v>
      </c>
      <c r="V361">
        <v>1</v>
      </c>
      <c r="W361">
        <v>0.0</v>
      </c>
      <c r="X361">
        <v>0.0</v>
      </c>
      <c r="Y361">
        <v>0.0</v>
      </c>
      <c r="Z361">
        <v>0.0</v>
      </c>
      <c r="AA361">
        <v>0.0</v>
      </c>
      <c r="AB361">
        <v>0.0</v>
      </c>
      <c r="AC361">
        <v>0.0</v>
      </c>
      <c r="AD361">
        <v>0.0</v>
      </c>
      <c r="AE361" t="s">
        <v>411</v>
      </c>
    </row>
    <row r="362" spans="1:33">
      <c r="A362" t="s">
        <v>1011</v>
      </c>
      <c r="B362" t="s">
        <v>1012</v>
      </c>
      <c r="C362" t="s">
        <v>35</v>
      </c>
      <c r="D362" t="s">
        <v>36</v>
      </c>
      <c r="E362" t="s">
        <v>37</v>
      </c>
      <c r="F362" t="s">
        <v>37</v>
      </c>
      <c r="G362" t="s">
        <v>37</v>
      </c>
      <c r="J362" t="s">
        <v>43</v>
      </c>
      <c r="K362">
        <v>318452758</v>
      </c>
      <c r="L362" t="s">
        <v>1013</v>
      </c>
      <c r="M362">
        <v>142.24</v>
      </c>
      <c r="O362" t="s">
        <v>1014</v>
      </c>
      <c r="P362" t="s">
        <v>46</v>
      </c>
      <c r="Q362">
        <v>9401.3</v>
      </c>
      <c r="R362" t="s">
        <v>48</v>
      </c>
      <c r="W362">
        <v>0.0</v>
      </c>
      <c r="X362">
        <v>0.0</v>
      </c>
      <c r="Y362">
        <v>0.0</v>
      </c>
      <c r="Z362">
        <v>0.0</v>
      </c>
      <c r="AA362">
        <v>0.0</v>
      </c>
      <c r="AB362">
        <v>0.0</v>
      </c>
      <c r="AC362">
        <v>0.0</v>
      </c>
      <c r="AD362">
        <v>0.0</v>
      </c>
      <c r="AG362" t="str">
        <f>HYPERLINK("https://fwc26.smmarta.com/nomenclature/1257/images-download", "Download")</f>
        <v>0</v>
      </c>
    </row>
    <row r="363" spans="1:33">
      <c r="A363" t="s">
        <v>1015</v>
      </c>
      <c r="B363" t="s">
        <v>1016</v>
      </c>
      <c r="C363" t="s">
        <v>35</v>
      </c>
      <c r="D363" t="s">
        <v>36</v>
      </c>
      <c r="E363" t="s">
        <v>37</v>
      </c>
      <c r="F363" t="s">
        <v>37</v>
      </c>
      <c r="G363" t="s">
        <v>37</v>
      </c>
      <c r="J363" t="s">
        <v>43</v>
      </c>
      <c r="K363">
        <v>326729597</v>
      </c>
      <c r="L363" t="s">
        <v>1017</v>
      </c>
      <c r="M363">
        <v>67.45</v>
      </c>
      <c r="O363" t="s">
        <v>1018</v>
      </c>
      <c r="P363" t="s">
        <v>46</v>
      </c>
      <c r="Q363">
        <v>9401.3</v>
      </c>
      <c r="R363" t="s">
        <v>48</v>
      </c>
      <c r="W363">
        <v>0.0</v>
      </c>
      <c r="X363">
        <v>0.0</v>
      </c>
      <c r="Y363">
        <v>0.0</v>
      </c>
      <c r="Z363">
        <v>0.0</v>
      </c>
      <c r="AA363">
        <v>0.0</v>
      </c>
      <c r="AB363">
        <v>0.0</v>
      </c>
      <c r="AC363">
        <v>0.0</v>
      </c>
      <c r="AD363">
        <v>0.0</v>
      </c>
      <c r="AG363" t="str">
        <f>HYPERLINK("https://fwc26.smmarta.com/nomenclature/1258/images-download", "Download")</f>
        <v>0</v>
      </c>
    </row>
    <row r="364" spans="1:33">
      <c r="A364" t="s">
        <v>1019</v>
      </c>
      <c r="B364" t="s">
        <v>1020</v>
      </c>
      <c r="C364" t="s">
        <v>35</v>
      </c>
      <c r="D364" t="s">
        <v>36</v>
      </c>
      <c r="E364" t="s">
        <v>37</v>
      </c>
      <c r="F364" t="s">
        <v>37</v>
      </c>
      <c r="G364" t="s">
        <v>37</v>
      </c>
      <c r="J364" t="s">
        <v>312</v>
      </c>
    </row>
    <row r="365" spans="1:33">
      <c r="A365" t="s">
        <v>1021</v>
      </c>
      <c r="B365" t="s">
        <v>1022</v>
      </c>
      <c r="C365" t="s">
        <v>35</v>
      </c>
      <c r="D365" t="s">
        <v>36</v>
      </c>
      <c r="E365" t="s">
        <v>37</v>
      </c>
      <c r="F365" t="s">
        <v>37</v>
      </c>
      <c r="G365" t="s">
        <v>37</v>
      </c>
      <c r="H365">
        <v>1</v>
      </c>
      <c r="I365">
        <v>12939</v>
      </c>
      <c r="J365" t="s">
        <v>38</v>
      </c>
      <c r="M365">
        <v>15</v>
      </c>
      <c r="N365" t="s">
        <v>39</v>
      </c>
      <c r="W365">
        <v>0.0</v>
      </c>
      <c r="X365">
        <v>0.0</v>
      </c>
      <c r="Y365">
        <v>0.0</v>
      </c>
      <c r="Z365">
        <v>0.0</v>
      </c>
      <c r="AA365">
        <v>0.0</v>
      </c>
      <c r="AB365">
        <v>0.0</v>
      </c>
      <c r="AC365">
        <v>0.0</v>
      </c>
      <c r="AD365">
        <v>0.0</v>
      </c>
    </row>
    <row r="366" spans="1:33">
      <c r="A366" t="s">
        <v>1023</v>
      </c>
      <c r="B366" t="s">
        <v>1024</v>
      </c>
      <c r="C366" t="s">
        <v>35</v>
      </c>
      <c r="D366" t="s">
        <v>36</v>
      </c>
      <c r="E366" t="s">
        <v>37</v>
      </c>
      <c r="F366" t="s">
        <v>37</v>
      </c>
      <c r="G366" t="s">
        <v>37</v>
      </c>
      <c r="H366">
        <v>1</v>
      </c>
      <c r="J366" t="s">
        <v>119</v>
      </c>
      <c r="M366">
        <v>32.45</v>
      </c>
      <c r="P366">
        <v>9817</v>
      </c>
      <c r="Q366" t="s">
        <v>1025</v>
      </c>
      <c r="R366" t="s">
        <v>48</v>
      </c>
      <c r="S366">
        <v>96</v>
      </c>
      <c r="T366">
        <v>1</v>
      </c>
      <c r="U366">
        <v>96</v>
      </c>
      <c r="V366">
        <v>1</v>
      </c>
      <c r="W366">
        <v>0.0</v>
      </c>
      <c r="X366">
        <v>0.0</v>
      </c>
      <c r="Y366">
        <v>0.0</v>
      </c>
      <c r="Z366">
        <v>0.0</v>
      </c>
      <c r="AA366">
        <v>0.0</v>
      </c>
      <c r="AB366">
        <v>0.0</v>
      </c>
      <c r="AC366">
        <v>0.0</v>
      </c>
      <c r="AD366">
        <v>0.0</v>
      </c>
    </row>
    <row r="367" spans="1:33">
      <c r="A367" t="s">
        <v>1026</v>
      </c>
      <c r="B367" t="s">
        <v>1027</v>
      </c>
      <c r="C367" t="s">
        <v>35</v>
      </c>
      <c r="D367" t="s">
        <v>36</v>
      </c>
      <c r="E367" t="s">
        <v>37</v>
      </c>
      <c r="F367" t="s">
        <v>37</v>
      </c>
      <c r="G367" t="s">
        <v>37</v>
      </c>
      <c r="H367">
        <v>1</v>
      </c>
      <c r="I367">
        <v>3083</v>
      </c>
      <c r="J367" t="s">
        <v>38</v>
      </c>
      <c r="M367">
        <v>98</v>
      </c>
      <c r="N367" t="s">
        <v>39</v>
      </c>
      <c r="W367">
        <v>19.0</v>
      </c>
      <c r="X367">
        <v>23.5</v>
      </c>
      <c r="Y367">
        <v>31.75</v>
      </c>
      <c r="Z367">
        <v>0.0</v>
      </c>
      <c r="AA367">
        <v>0.0</v>
      </c>
      <c r="AB367">
        <v>0.0</v>
      </c>
      <c r="AC367">
        <v>0.0</v>
      </c>
      <c r="AD367">
        <v>0.0</v>
      </c>
    </row>
    <row r="368" spans="1:33">
      <c r="A368" t="s">
        <v>1028</v>
      </c>
      <c r="B368" t="s">
        <v>1029</v>
      </c>
      <c r="C368" t="s">
        <v>35</v>
      </c>
      <c r="D368" t="s">
        <v>36</v>
      </c>
      <c r="E368" t="s">
        <v>37</v>
      </c>
      <c r="F368" t="s">
        <v>37</v>
      </c>
      <c r="G368" t="s">
        <v>37</v>
      </c>
      <c r="H368">
        <v>1</v>
      </c>
      <c r="J368" t="s">
        <v>119</v>
      </c>
      <c r="M368">
        <v>66</v>
      </c>
      <c r="P368">
        <v>9817</v>
      </c>
      <c r="Q368" t="s">
        <v>1025</v>
      </c>
      <c r="R368" t="s">
        <v>48</v>
      </c>
      <c r="U368">
        <v>16</v>
      </c>
      <c r="V368">
        <v>1</v>
      </c>
      <c r="W368">
        <v>0.0</v>
      </c>
      <c r="X368">
        <v>0.0</v>
      </c>
      <c r="Y368">
        <v>0.0</v>
      </c>
      <c r="Z368">
        <v>0.0</v>
      </c>
      <c r="AA368">
        <v>0.0</v>
      </c>
      <c r="AB368">
        <v>0.0</v>
      </c>
      <c r="AC368">
        <v>0.0</v>
      </c>
      <c r="AD368">
        <v>0.0</v>
      </c>
    </row>
    <row r="369" spans="1:33">
      <c r="A369" t="s">
        <v>1030</v>
      </c>
      <c r="B369" t="s">
        <v>1031</v>
      </c>
      <c r="C369" t="s">
        <v>35</v>
      </c>
      <c r="D369" t="s">
        <v>36</v>
      </c>
      <c r="E369" t="s">
        <v>37</v>
      </c>
      <c r="F369" t="s">
        <v>37</v>
      </c>
      <c r="G369" t="s">
        <v>37</v>
      </c>
      <c r="H369">
        <v>1</v>
      </c>
      <c r="I369">
        <v>84</v>
      </c>
      <c r="J369" t="s">
        <v>38</v>
      </c>
      <c r="M369">
        <v>248</v>
      </c>
      <c r="N369" t="s">
        <v>39</v>
      </c>
      <c r="W369">
        <v>21.0</v>
      </c>
      <c r="X369">
        <v>17.5</v>
      </c>
      <c r="Y369">
        <v>41.5</v>
      </c>
      <c r="Z369">
        <v>0.0</v>
      </c>
      <c r="AA369">
        <v>0.0</v>
      </c>
      <c r="AB369">
        <v>0.0</v>
      </c>
      <c r="AC369">
        <v>0.0</v>
      </c>
      <c r="AD369">
        <v>0.0</v>
      </c>
    </row>
    <row r="370" spans="1:33">
      <c r="A370" t="s">
        <v>1032</v>
      </c>
      <c r="B370" t="s">
        <v>1033</v>
      </c>
      <c r="C370" t="s">
        <v>35</v>
      </c>
      <c r="D370" t="s">
        <v>36</v>
      </c>
      <c r="E370" t="s">
        <v>37</v>
      </c>
      <c r="F370" t="s">
        <v>37</v>
      </c>
      <c r="G370" t="s">
        <v>37</v>
      </c>
      <c r="H370">
        <v>1</v>
      </c>
      <c r="J370" t="s">
        <v>119</v>
      </c>
      <c r="M370">
        <v>319</v>
      </c>
      <c r="P370" t="s">
        <v>46</v>
      </c>
      <c r="Q370">
        <v>9401.39</v>
      </c>
      <c r="R370" t="s">
        <v>48</v>
      </c>
      <c r="S370">
        <v>8</v>
      </c>
      <c r="T370">
        <v>1</v>
      </c>
      <c r="U370">
        <v>8</v>
      </c>
      <c r="V370">
        <v>1</v>
      </c>
      <c r="W370">
        <v>0.0</v>
      </c>
      <c r="X370">
        <v>0.0</v>
      </c>
      <c r="Y370">
        <v>0.0</v>
      </c>
      <c r="Z370">
        <v>0.0</v>
      </c>
      <c r="AA370">
        <v>0.0</v>
      </c>
      <c r="AB370">
        <v>0.0</v>
      </c>
      <c r="AC370">
        <v>0.0</v>
      </c>
      <c r="AD370">
        <v>0.0</v>
      </c>
      <c r="AE370" t="s">
        <v>411</v>
      </c>
    </row>
    <row r="371" spans="1:33">
      <c r="A371" t="s">
        <v>1034</v>
      </c>
      <c r="B371" t="s">
        <v>1035</v>
      </c>
      <c r="C371" t="s">
        <v>35</v>
      </c>
      <c r="D371" t="s">
        <v>36</v>
      </c>
      <c r="E371" t="s">
        <v>37</v>
      </c>
      <c r="F371" t="s">
        <v>37</v>
      </c>
      <c r="G371" t="s">
        <v>37</v>
      </c>
      <c r="H371">
        <v>1</v>
      </c>
      <c r="I371">
        <v>84</v>
      </c>
      <c r="J371" t="s">
        <v>38</v>
      </c>
      <c r="M371">
        <v>248</v>
      </c>
      <c r="N371" t="s">
        <v>39</v>
      </c>
      <c r="W371">
        <v>0.0</v>
      </c>
      <c r="X371">
        <v>0.0</v>
      </c>
      <c r="Y371">
        <v>0.0</v>
      </c>
      <c r="Z371">
        <v>0.0</v>
      </c>
      <c r="AA371">
        <v>0.0</v>
      </c>
      <c r="AB371">
        <v>0.0</v>
      </c>
      <c r="AC371">
        <v>0.0</v>
      </c>
      <c r="AD371">
        <v>0.0</v>
      </c>
    </row>
    <row r="372" spans="1:33">
      <c r="A372" t="s">
        <v>1036</v>
      </c>
      <c r="B372" t="s">
        <v>1037</v>
      </c>
      <c r="C372" t="s">
        <v>35</v>
      </c>
      <c r="D372" t="s">
        <v>36</v>
      </c>
      <c r="E372" t="s">
        <v>37</v>
      </c>
      <c r="F372" t="s">
        <v>37</v>
      </c>
      <c r="G372" t="s">
        <v>37</v>
      </c>
      <c r="H372">
        <v>1</v>
      </c>
      <c r="I372">
        <v>2617</v>
      </c>
      <c r="J372" t="s">
        <v>38</v>
      </c>
      <c r="M372">
        <v>85</v>
      </c>
      <c r="N372" t="s">
        <v>39</v>
      </c>
      <c r="W372">
        <v>22.0</v>
      </c>
      <c r="X372">
        <v>18.0</v>
      </c>
      <c r="Y372">
        <v>32.3</v>
      </c>
      <c r="Z372">
        <v>0.0</v>
      </c>
      <c r="AA372">
        <v>0.0</v>
      </c>
      <c r="AB372">
        <v>0.0</v>
      </c>
      <c r="AC372">
        <v>0.0</v>
      </c>
      <c r="AD372">
        <v>0.0</v>
      </c>
    </row>
    <row r="373" spans="1:33">
      <c r="A373" t="s">
        <v>1038</v>
      </c>
      <c r="B373" t="s">
        <v>1039</v>
      </c>
      <c r="C373" t="s">
        <v>35</v>
      </c>
      <c r="D373" t="s">
        <v>36</v>
      </c>
      <c r="E373" t="s">
        <v>37</v>
      </c>
      <c r="F373" t="s">
        <v>37</v>
      </c>
      <c r="G373" t="s">
        <v>37</v>
      </c>
      <c r="H373">
        <v>1</v>
      </c>
      <c r="J373" t="s">
        <v>119</v>
      </c>
      <c r="M373">
        <v>82.5</v>
      </c>
      <c r="P373">
        <v>9817</v>
      </c>
      <c r="Q373">
        <v>9401.71</v>
      </c>
      <c r="R373" t="s">
        <v>48</v>
      </c>
      <c r="U373">
        <v>18</v>
      </c>
      <c r="V373">
        <v>1</v>
      </c>
      <c r="W373">
        <v>0.0</v>
      </c>
      <c r="X373">
        <v>0.0</v>
      </c>
      <c r="Y373">
        <v>0.0</v>
      </c>
      <c r="Z373">
        <v>0.0</v>
      </c>
      <c r="AA373">
        <v>0.0</v>
      </c>
      <c r="AB373">
        <v>0.0</v>
      </c>
      <c r="AC373">
        <v>0.0</v>
      </c>
      <c r="AD373">
        <v>0.0</v>
      </c>
    </row>
    <row r="374" spans="1:33">
      <c r="A374" t="s">
        <v>1040</v>
      </c>
      <c r="B374" t="s">
        <v>1041</v>
      </c>
      <c r="C374" t="s">
        <v>35</v>
      </c>
      <c r="D374" t="s">
        <v>36</v>
      </c>
      <c r="E374" t="s">
        <v>37</v>
      </c>
      <c r="F374" t="s">
        <v>37</v>
      </c>
      <c r="G374" t="s">
        <v>37</v>
      </c>
      <c r="H374">
        <v>1</v>
      </c>
      <c r="I374">
        <v>54</v>
      </c>
      <c r="J374" t="s">
        <v>38</v>
      </c>
      <c r="M374">
        <v>245</v>
      </c>
      <c r="N374" t="s">
        <v>39</v>
      </c>
      <c r="W374">
        <v>24.0</v>
      </c>
      <c r="X374">
        <v>48.0</v>
      </c>
      <c r="Y374">
        <v>30.0</v>
      </c>
      <c r="Z374">
        <v>0.0</v>
      </c>
      <c r="AA374">
        <v>0.0</v>
      </c>
      <c r="AB374">
        <v>0.0</v>
      </c>
      <c r="AC374">
        <v>0.0</v>
      </c>
      <c r="AD374">
        <v>0.0</v>
      </c>
    </row>
    <row r="375" spans="1:33">
      <c r="A375" t="s">
        <v>1042</v>
      </c>
      <c r="B375" t="s">
        <v>1043</v>
      </c>
      <c r="C375" t="s">
        <v>35</v>
      </c>
      <c r="D375" t="s">
        <v>36</v>
      </c>
      <c r="E375" t="s">
        <v>37</v>
      </c>
      <c r="F375" t="s">
        <v>37</v>
      </c>
      <c r="G375" t="s">
        <v>37</v>
      </c>
      <c r="H375">
        <v>1</v>
      </c>
      <c r="I375">
        <v>70</v>
      </c>
      <c r="J375" t="s">
        <v>38</v>
      </c>
      <c r="M375">
        <v>245</v>
      </c>
      <c r="N375" t="s">
        <v>39</v>
      </c>
      <c r="W375">
        <v>30.0</v>
      </c>
      <c r="X375">
        <v>48.0</v>
      </c>
      <c r="Y375">
        <v>30.0</v>
      </c>
      <c r="Z375">
        <v>0.0</v>
      </c>
      <c r="AA375">
        <v>0.0</v>
      </c>
      <c r="AB375">
        <v>0.0</v>
      </c>
      <c r="AC375">
        <v>0.0</v>
      </c>
      <c r="AD375">
        <v>0.0</v>
      </c>
    </row>
    <row r="376" spans="1:33">
      <c r="A376" t="s">
        <v>1044</v>
      </c>
      <c r="B376" t="s">
        <v>1045</v>
      </c>
      <c r="C376" t="s">
        <v>35</v>
      </c>
      <c r="D376" t="s">
        <v>36</v>
      </c>
      <c r="E376" t="s">
        <v>37</v>
      </c>
      <c r="F376" t="s">
        <v>37</v>
      </c>
      <c r="G376" t="s">
        <v>37</v>
      </c>
      <c r="H376">
        <v>1</v>
      </c>
      <c r="I376">
        <v>36</v>
      </c>
      <c r="J376" t="s">
        <v>38</v>
      </c>
      <c r="M376">
        <v>245</v>
      </c>
      <c r="N376" t="s">
        <v>39</v>
      </c>
      <c r="W376">
        <v>30.0</v>
      </c>
      <c r="X376">
        <v>48.0</v>
      </c>
      <c r="Y376">
        <v>30.0</v>
      </c>
      <c r="Z376">
        <v>0.0</v>
      </c>
      <c r="AA376">
        <v>0.0</v>
      </c>
      <c r="AB376">
        <v>0.0</v>
      </c>
      <c r="AC376">
        <v>0.0</v>
      </c>
      <c r="AD376">
        <v>0.0</v>
      </c>
    </row>
    <row r="377" spans="1:33">
      <c r="A377" t="s">
        <v>1046</v>
      </c>
      <c r="B377" t="s">
        <v>1047</v>
      </c>
      <c r="C377" t="s">
        <v>35</v>
      </c>
      <c r="D377" t="s">
        <v>36</v>
      </c>
      <c r="E377" t="s">
        <v>37</v>
      </c>
      <c r="F377" t="s">
        <v>37</v>
      </c>
      <c r="G377" t="s">
        <v>37</v>
      </c>
      <c r="H377">
        <v>1</v>
      </c>
      <c r="I377">
        <v>425</v>
      </c>
      <c r="J377" t="s">
        <v>38</v>
      </c>
      <c r="M377">
        <v>245</v>
      </c>
      <c r="N377" t="s">
        <v>39</v>
      </c>
      <c r="W377">
        <v>30.0</v>
      </c>
      <c r="X377">
        <v>42.0</v>
      </c>
      <c r="Y377">
        <v>30.0</v>
      </c>
      <c r="Z377">
        <v>0.0</v>
      </c>
      <c r="AA377">
        <v>0.0</v>
      </c>
      <c r="AB377">
        <v>0.0</v>
      </c>
      <c r="AC377">
        <v>0.0</v>
      </c>
      <c r="AD377">
        <v>0.0</v>
      </c>
    </row>
    <row r="378" spans="1:33">
      <c r="A378" t="s">
        <v>1048</v>
      </c>
      <c r="B378" t="s">
        <v>1049</v>
      </c>
      <c r="C378" t="s">
        <v>35</v>
      </c>
      <c r="D378" t="s">
        <v>36</v>
      </c>
      <c r="E378" t="s">
        <v>37</v>
      </c>
      <c r="F378" t="s">
        <v>37</v>
      </c>
      <c r="G378" t="s">
        <v>37</v>
      </c>
      <c r="H378">
        <v>1</v>
      </c>
      <c r="I378">
        <v>210</v>
      </c>
      <c r="J378" t="s">
        <v>38</v>
      </c>
      <c r="M378">
        <v>245</v>
      </c>
      <c r="N378" t="s">
        <v>39</v>
      </c>
      <c r="W378">
        <v>22.0</v>
      </c>
      <c r="X378">
        <v>48.0</v>
      </c>
      <c r="Y378">
        <v>30.0</v>
      </c>
      <c r="Z378">
        <v>0.0</v>
      </c>
      <c r="AA378">
        <v>0.0</v>
      </c>
      <c r="AB378">
        <v>0.0</v>
      </c>
      <c r="AC378">
        <v>0.0</v>
      </c>
      <c r="AD378">
        <v>0.0</v>
      </c>
    </row>
    <row r="379" spans="1:33">
      <c r="A379" t="s">
        <v>1050</v>
      </c>
      <c r="B379" t="s">
        <v>1051</v>
      </c>
      <c r="C379" t="s">
        <v>35</v>
      </c>
      <c r="D379" t="s">
        <v>36</v>
      </c>
      <c r="E379" t="s">
        <v>37</v>
      </c>
      <c r="F379" t="s">
        <v>37</v>
      </c>
      <c r="G379" t="s">
        <v>37</v>
      </c>
      <c r="H379">
        <v>1</v>
      </c>
      <c r="I379">
        <v>39</v>
      </c>
      <c r="J379" t="s">
        <v>38</v>
      </c>
      <c r="M379">
        <v>245</v>
      </c>
      <c r="N379" t="s">
        <v>39</v>
      </c>
      <c r="W379">
        <v>22.0</v>
      </c>
      <c r="X379">
        <v>48.0</v>
      </c>
      <c r="Y379">
        <v>30.0</v>
      </c>
      <c r="Z379">
        <v>0.0</v>
      </c>
      <c r="AA379">
        <v>0.0</v>
      </c>
      <c r="AB379">
        <v>0.0</v>
      </c>
      <c r="AC379">
        <v>0.0</v>
      </c>
      <c r="AD379">
        <v>0.0</v>
      </c>
    </row>
    <row r="380" spans="1:33">
      <c r="A380" t="s">
        <v>1052</v>
      </c>
      <c r="B380" t="s">
        <v>1053</v>
      </c>
      <c r="C380" t="s">
        <v>35</v>
      </c>
      <c r="D380" t="s">
        <v>36</v>
      </c>
      <c r="E380" t="s">
        <v>37</v>
      </c>
      <c r="F380" t="s">
        <v>37</v>
      </c>
      <c r="G380" t="s">
        <v>37</v>
      </c>
      <c r="H380">
        <v>1</v>
      </c>
      <c r="I380">
        <v>97</v>
      </c>
      <c r="J380" t="s">
        <v>38</v>
      </c>
      <c r="M380">
        <v>245</v>
      </c>
      <c r="N380" t="s">
        <v>39</v>
      </c>
      <c r="W380">
        <v>30.0</v>
      </c>
      <c r="X380">
        <v>60.0</v>
      </c>
      <c r="Y380">
        <v>30.0</v>
      </c>
      <c r="Z380">
        <v>0.0</v>
      </c>
      <c r="AA380">
        <v>0.0</v>
      </c>
      <c r="AB380">
        <v>0.0</v>
      </c>
      <c r="AC380">
        <v>0.0</v>
      </c>
      <c r="AD380">
        <v>0.0</v>
      </c>
    </row>
    <row r="381" spans="1:33">
      <c r="A381" t="s">
        <v>1054</v>
      </c>
      <c r="B381" t="s">
        <v>1055</v>
      </c>
      <c r="C381" t="s">
        <v>35</v>
      </c>
      <c r="D381" t="s">
        <v>36</v>
      </c>
      <c r="E381" t="s">
        <v>37</v>
      </c>
      <c r="F381" t="s">
        <v>37</v>
      </c>
      <c r="G381" t="s">
        <v>37</v>
      </c>
      <c r="H381">
        <v>1</v>
      </c>
      <c r="I381">
        <v>196</v>
      </c>
      <c r="J381" t="s">
        <v>38</v>
      </c>
      <c r="M381">
        <v>245</v>
      </c>
      <c r="N381" t="s">
        <v>39</v>
      </c>
      <c r="W381">
        <v>22.0</v>
      </c>
      <c r="X381">
        <v>72.0</v>
      </c>
      <c r="Y381">
        <v>30.0</v>
      </c>
      <c r="Z381">
        <v>0.0</v>
      </c>
      <c r="AA381">
        <v>0.0</v>
      </c>
      <c r="AB381">
        <v>0.0</v>
      </c>
      <c r="AC381">
        <v>0.0</v>
      </c>
      <c r="AD381">
        <v>0.0</v>
      </c>
    </row>
    <row r="382" spans="1:33">
      <c r="A382" t="s">
        <v>1056</v>
      </c>
      <c r="B382" t="s">
        <v>1057</v>
      </c>
      <c r="C382" t="s">
        <v>35</v>
      </c>
      <c r="D382" t="s">
        <v>36</v>
      </c>
      <c r="E382" t="s">
        <v>37</v>
      </c>
      <c r="F382" t="s">
        <v>37</v>
      </c>
      <c r="G382" t="s">
        <v>37</v>
      </c>
      <c r="H382">
        <v>1</v>
      </c>
      <c r="J382" t="s">
        <v>119</v>
      </c>
      <c r="M382">
        <v>192.5</v>
      </c>
      <c r="P382">
        <v>9817</v>
      </c>
      <c r="Q382" t="s">
        <v>1058</v>
      </c>
      <c r="R382" t="s">
        <v>48</v>
      </c>
      <c r="U382">
        <v>10</v>
      </c>
      <c r="V382">
        <v>1</v>
      </c>
      <c r="W382">
        <v>0.0</v>
      </c>
      <c r="X382">
        <v>0.0</v>
      </c>
      <c r="Y382">
        <v>0.0</v>
      </c>
      <c r="Z382">
        <v>0.0</v>
      </c>
      <c r="AA382">
        <v>0.0</v>
      </c>
      <c r="AB382">
        <v>0.0</v>
      </c>
      <c r="AC382">
        <v>0.0</v>
      </c>
      <c r="AD382">
        <v>0.0</v>
      </c>
      <c r="AE382" t="s">
        <v>121</v>
      </c>
    </row>
    <row r="383" spans="1:33">
      <c r="A383" t="s">
        <v>1059</v>
      </c>
      <c r="B383" t="s">
        <v>1060</v>
      </c>
      <c r="C383" t="s">
        <v>35</v>
      </c>
      <c r="D383" t="s">
        <v>36</v>
      </c>
      <c r="E383" t="s">
        <v>37</v>
      </c>
      <c r="F383" t="s">
        <v>113</v>
      </c>
      <c r="G383" t="s">
        <v>37</v>
      </c>
      <c r="J383" t="s">
        <v>1061</v>
      </c>
      <c r="M383">
        <v>96.85</v>
      </c>
      <c r="N383" t="s">
        <v>169</v>
      </c>
      <c r="R383" t="s">
        <v>1062</v>
      </c>
      <c r="U383">
        <v>46</v>
      </c>
      <c r="W383">
        <v>0.0</v>
      </c>
      <c r="X383">
        <v>0.0</v>
      </c>
      <c r="Y383">
        <v>0.0</v>
      </c>
      <c r="Z383">
        <v>0.0</v>
      </c>
      <c r="AA383">
        <v>0.0</v>
      </c>
      <c r="AB383">
        <v>0.0</v>
      </c>
      <c r="AC383">
        <v>0.0</v>
      </c>
      <c r="AD383">
        <v>0.0</v>
      </c>
    </row>
    <row r="384" spans="1:33">
      <c r="A384" t="s">
        <v>1063</v>
      </c>
      <c r="B384" t="s">
        <v>1064</v>
      </c>
      <c r="C384" t="s">
        <v>35</v>
      </c>
      <c r="D384" t="s">
        <v>36</v>
      </c>
      <c r="E384" t="s">
        <v>37</v>
      </c>
      <c r="F384" t="s">
        <v>37</v>
      </c>
      <c r="G384" t="s">
        <v>37</v>
      </c>
      <c r="J384" t="s">
        <v>312</v>
      </c>
    </row>
    <row r="385" spans="1:33">
      <c r="A385" t="s">
        <v>1065</v>
      </c>
      <c r="B385" t="s">
        <v>1066</v>
      </c>
      <c r="C385" t="s">
        <v>35</v>
      </c>
      <c r="D385" t="s">
        <v>36</v>
      </c>
      <c r="E385" t="s">
        <v>37</v>
      </c>
      <c r="F385" t="s">
        <v>37</v>
      </c>
      <c r="G385" t="s">
        <v>37</v>
      </c>
      <c r="H385">
        <v>1</v>
      </c>
      <c r="I385">
        <v>34</v>
      </c>
      <c r="J385" t="s">
        <v>38</v>
      </c>
      <c r="M385">
        <v>269</v>
      </c>
      <c r="N385" t="s">
        <v>39</v>
      </c>
      <c r="W385">
        <v>66.0</v>
      </c>
      <c r="X385">
        <v>30.0</v>
      </c>
      <c r="Y385">
        <v>30.0</v>
      </c>
      <c r="Z385">
        <v>0.0</v>
      </c>
      <c r="AA385">
        <v>0.0</v>
      </c>
      <c r="AB385">
        <v>0.0</v>
      </c>
      <c r="AC385">
        <v>0.0</v>
      </c>
      <c r="AD385">
        <v>0.0</v>
      </c>
    </row>
    <row r="386" spans="1:33">
      <c r="A386" t="s">
        <v>1067</v>
      </c>
      <c r="B386" t="s">
        <v>1068</v>
      </c>
      <c r="C386" t="s">
        <v>35</v>
      </c>
      <c r="D386" t="s">
        <v>36</v>
      </c>
      <c r="E386" t="s">
        <v>37</v>
      </c>
      <c r="F386" t="s">
        <v>37</v>
      </c>
      <c r="G386" t="s">
        <v>37</v>
      </c>
      <c r="H386">
        <v>1</v>
      </c>
      <c r="I386">
        <v>1186</v>
      </c>
      <c r="J386" t="s">
        <v>38</v>
      </c>
      <c r="M386">
        <v>269</v>
      </c>
      <c r="W386">
        <v>66.0</v>
      </c>
      <c r="X386">
        <v>22.0</v>
      </c>
      <c r="Y386">
        <v>30.0</v>
      </c>
      <c r="Z386">
        <v>0.0</v>
      </c>
      <c r="AA386">
        <v>0.0</v>
      </c>
      <c r="AB386">
        <v>0.0</v>
      </c>
      <c r="AC386">
        <v>0.0</v>
      </c>
      <c r="AD386">
        <v>0.0</v>
      </c>
    </row>
    <row r="387" spans="1:33">
      <c r="A387" t="s">
        <v>1069</v>
      </c>
      <c r="B387" t="s">
        <v>1070</v>
      </c>
      <c r="C387" t="s">
        <v>35</v>
      </c>
      <c r="D387" t="s">
        <v>36</v>
      </c>
      <c r="E387" t="s">
        <v>37</v>
      </c>
      <c r="F387" t="s">
        <v>37</v>
      </c>
      <c r="G387" t="s">
        <v>37</v>
      </c>
      <c r="H387">
        <v>1</v>
      </c>
      <c r="J387" t="s">
        <v>119</v>
      </c>
      <c r="M387">
        <v>357.5</v>
      </c>
      <c r="P387">
        <v>9817</v>
      </c>
      <c r="Q387" t="s">
        <v>1058</v>
      </c>
      <c r="R387" t="s">
        <v>48</v>
      </c>
      <c r="U387">
        <v>10</v>
      </c>
      <c r="V387">
        <v>2</v>
      </c>
      <c r="W387">
        <v>0.0</v>
      </c>
      <c r="X387">
        <v>0.0</v>
      </c>
      <c r="Y387">
        <v>0.0</v>
      </c>
      <c r="Z387">
        <v>0.0</v>
      </c>
      <c r="AA387">
        <v>0.0</v>
      </c>
      <c r="AB387">
        <v>0.0</v>
      </c>
      <c r="AC387">
        <v>0.0</v>
      </c>
      <c r="AD387">
        <v>0.0</v>
      </c>
      <c r="AE387" t="s">
        <v>121</v>
      </c>
    </row>
    <row r="388" spans="1:33">
      <c r="A388" t="s">
        <v>1071</v>
      </c>
      <c r="B388" t="s">
        <v>1072</v>
      </c>
      <c r="C388" t="s">
        <v>35</v>
      </c>
      <c r="D388" t="s">
        <v>36</v>
      </c>
      <c r="E388" t="s">
        <v>37</v>
      </c>
      <c r="F388" t="s">
        <v>37</v>
      </c>
      <c r="G388" t="s">
        <v>37</v>
      </c>
      <c r="H388">
        <v>1</v>
      </c>
      <c r="I388">
        <v>34</v>
      </c>
      <c r="J388" t="s">
        <v>38</v>
      </c>
      <c r="M388">
        <v>269</v>
      </c>
      <c r="N388" t="s">
        <v>39</v>
      </c>
      <c r="W388">
        <v>66.0</v>
      </c>
      <c r="X388">
        <v>30.0</v>
      </c>
      <c r="Y388">
        <v>30.0</v>
      </c>
      <c r="Z388">
        <v>0.0</v>
      </c>
      <c r="AA388">
        <v>0.0</v>
      </c>
      <c r="AB388">
        <v>0.0</v>
      </c>
      <c r="AC388">
        <v>0.0</v>
      </c>
      <c r="AD388">
        <v>0.0</v>
      </c>
    </row>
    <row r="389" spans="1:33">
      <c r="A389" t="s">
        <v>1073</v>
      </c>
      <c r="B389" t="s">
        <v>1074</v>
      </c>
      <c r="C389" t="s">
        <v>35</v>
      </c>
      <c r="D389" t="s">
        <v>36</v>
      </c>
      <c r="E389" t="s">
        <v>37</v>
      </c>
      <c r="F389" t="s">
        <v>113</v>
      </c>
      <c r="G389" t="s">
        <v>37</v>
      </c>
      <c r="J389" t="s">
        <v>1061</v>
      </c>
      <c r="M389">
        <v>247.95</v>
      </c>
      <c r="N389" t="s">
        <v>169</v>
      </c>
      <c r="R389" t="s">
        <v>1062</v>
      </c>
      <c r="U389">
        <v>23</v>
      </c>
    </row>
    <row r="390" spans="1:33">
      <c r="A390" t="s">
        <v>1075</v>
      </c>
      <c r="B390" t="s">
        <v>1076</v>
      </c>
      <c r="C390" t="s">
        <v>35</v>
      </c>
      <c r="D390" t="s">
        <v>36</v>
      </c>
      <c r="E390" t="s">
        <v>37</v>
      </c>
      <c r="F390" t="s">
        <v>37</v>
      </c>
      <c r="G390" t="s">
        <v>37</v>
      </c>
      <c r="J390" t="s">
        <v>312</v>
      </c>
    </row>
    <row r="391" spans="1:33">
      <c r="A391" t="s">
        <v>1077</v>
      </c>
      <c r="B391" t="s">
        <v>1078</v>
      </c>
      <c r="C391" t="s">
        <v>35</v>
      </c>
      <c r="D391" t="s">
        <v>36</v>
      </c>
      <c r="E391" t="s">
        <v>37</v>
      </c>
      <c r="F391" t="s">
        <v>37</v>
      </c>
      <c r="G391" t="s">
        <v>113</v>
      </c>
      <c r="H391">
        <v>1</v>
      </c>
      <c r="J391" t="s">
        <v>62</v>
      </c>
      <c r="M391">
        <v>420</v>
      </c>
      <c r="P391" t="s">
        <v>63</v>
      </c>
      <c r="R391" t="s">
        <v>48</v>
      </c>
      <c r="S391">
        <v>4</v>
      </c>
      <c r="T391">
        <v>1</v>
      </c>
      <c r="U391">
        <v>4</v>
      </c>
      <c r="V391">
        <v>1</v>
      </c>
      <c r="W391">
        <v>0.0</v>
      </c>
      <c r="X391">
        <v>0.0</v>
      </c>
      <c r="Y391">
        <v>0.0</v>
      </c>
      <c r="Z391">
        <v>0.0</v>
      </c>
      <c r="AA391">
        <v>0.0</v>
      </c>
      <c r="AB391">
        <v>0.0</v>
      </c>
      <c r="AC391">
        <v>0.0</v>
      </c>
      <c r="AD391">
        <v>0.0</v>
      </c>
      <c r="AG391" t="str">
        <f>HYPERLINK("https://fwc26.smmarta.com/nomenclature/630/images-download", "Download")</f>
        <v>0</v>
      </c>
    </row>
    <row r="392" spans="1:33">
      <c r="A392" t="s">
        <v>1079</v>
      </c>
      <c r="B392" t="s">
        <v>1078</v>
      </c>
      <c r="C392" t="s">
        <v>35</v>
      </c>
      <c r="D392" t="s">
        <v>36</v>
      </c>
      <c r="E392" t="s">
        <v>37</v>
      </c>
      <c r="F392" t="s">
        <v>37</v>
      </c>
      <c r="G392" t="s">
        <v>37</v>
      </c>
      <c r="H392">
        <v>1</v>
      </c>
      <c r="J392" t="s">
        <v>124</v>
      </c>
      <c r="M392">
        <v>299</v>
      </c>
      <c r="W392">
        <v>18.0</v>
      </c>
      <c r="X392">
        <v>18.0</v>
      </c>
      <c r="Y392">
        <v>72.0</v>
      </c>
      <c r="Z392">
        <v>0.0</v>
      </c>
      <c r="AA392">
        <v>0.0</v>
      </c>
      <c r="AB392">
        <v>0.0</v>
      </c>
      <c r="AC392">
        <v>0.0</v>
      </c>
      <c r="AD392">
        <v>0.0</v>
      </c>
    </row>
    <row r="393" spans="1:33">
      <c r="A393" t="s">
        <v>1080</v>
      </c>
      <c r="B393" t="s">
        <v>1078</v>
      </c>
      <c r="C393" t="s">
        <v>35</v>
      </c>
      <c r="D393" t="s">
        <v>36</v>
      </c>
      <c r="E393" t="s">
        <v>37</v>
      </c>
      <c r="F393" t="s">
        <v>37</v>
      </c>
      <c r="G393" t="s">
        <v>37</v>
      </c>
      <c r="H393">
        <v>1</v>
      </c>
      <c r="J393" t="s">
        <v>119</v>
      </c>
      <c r="M393">
        <v>363</v>
      </c>
      <c r="P393" t="s">
        <v>46</v>
      </c>
      <c r="Q393" t="s">
        <v>1003</v>
      </c>
      <c r="R393" t="s">
        <v>48</v>
      </c>
      <c r="U393">
        <v>20</v>
      </c>
      <c r="V393">
        <v>2</v>
      </c>
      <c r="W393">
        <v>0.0</v>
      </c>
      <c r="X393">
        <v>0.0</v>
      </c>
      <c r="Y393">
        <v>0.0</v>
      </c>
      <c r="Z393">
        <v>0.0</v>
      </c>
      <c r="AA393">
        <v>0.0</v>
      </c>
      <c r="AB393">
        <v>0.0</v>
      </c>
      <c r="AC393">
        <v>0.0</v>
      </c>
      <c r="AD393">
        <v>0.0</v>
      </c>
      <c r="AE393" t="s">
        <v>411</v>
      </c>
    </row>
    <row r="394" spans="1:33">
      <c r="A394" t="s">
        <v>1081</v>
      </c>
      <c r="B394" t="s">
        <v>1082</v>
      </c>
      <c r="C394" t="s">
        <v>35</v>
      </c>
      <c r="D394" t="s">
        <v>36</v>
      </c>
      <c r="E394" t="s">
        <v>37</v>
      </c>
      <c r="F394" t="s">
        <v>37</v>
      </c>
      <c r="G394" t="s">
        <v>113</v>
      </c>
      <c r="H394">
        <v>1</v>
      </c>
      <c r="J394" t="s">
        <v>62</v>
      </c>
      <c r="M394">
        <v>420</v>
      </c>
      <c r="P394" t="s">
        <v>63</v>
      </c>
      <c r="R394" t="s">
        <v>48</v>
      </c>
      <c r="S394">
        <v>4</v>
      </c>
      <c r="T394">
        <v>1</v>
      </c>
      <c r="U394">
        <v>4</v>
      </c>
      <c r="V394">
        <v>1</v>
      </c>
      <c r="W394">
        <v>0.0</v>
      </c>
      <c r="X394">
        <v>0.0</v>
      </c>
      <c r="Y394">
        <v>0.0</v>
      </c>
      <c r="Z394">
        <v>0.0</v>
      </c>
      <c r="AA394">
        <v>0.0</v>
      </c>
      <c r="AB394">
        <v>0.0</v>
      </c>
      <c r="AC394">
        <v>0.0</v>
      </c>
      <c r="AD394">
        <v>0.0</v>
      </c>
      <c r="AG394" t="str">
        <f>HYPERLINK("https://fwc26.smmarta.com/nomenclature/631/images-download", "Download")</f>
        <v>0</v>
      </c>
    </row>
    <row r="395" spans="1:33">
      <c r="A395" t="s">
        <v>1083</v>
      </c>
      <c r="B395" t="s">
        <v>1082</v>
      </c>
      <c r="C395" t="s">
        <v>35</v>
      </c>
      <c r="D395" t="s">
        <v>36</v>
      </c>
      <c r="E395" t="s">
        <v>37</v>
      </c>
      <c r="F395" t="s">
        <v>37</v>
      </c>
      <c r="G395" t="s">
        <v>37</v>
      </c>
      <c r="H395">
        <v>1</v>
      </c>
      <c r="J395" t="s">
        <v>124</v>
      </c>
      <c r="M395">
        <v>299</v>
      </c>
      <c r="W395">
        <v>18.0</v>
      </c>
      <c r="X395">
        <v>18.0</v>
      </c>
      <c r="Y395">
        <v>72.0</v>
      </c>
      <c r="Z395">
        <v>0.0</v>
      </c>
      <c r="AA395">
        <v>0.0</v>
      </c>
      <c r="AB395">
        <v>0.0</v>
      </c>
      <c r="AC395">
        <v>0.0</v>
      </c>
      <c r="AD395">
        <v>0.0</v>
      </c>
    </row>
    <row r="396" spans="1:33">
      <c r="A396" t="s">
        <v>1084</v>
      </c>
      <c r="B396" t="s">
        <v>1082</v>
      </c>
      <c r="C396" t="s">
        <v>35</v>
      </c>
      <c r="D396" t="s">
        <v>36</v>
      </c>
      <c r="E396" t="s">
        <v>37</v>
      </c>
      <c r="F396" t="s">
        <v>37</v>
      </c>
      <c r="G396" t="s">
        <v>37</v>
      </c>
      <c r="H396">
        <v>1</v>
      </c>
      <c r="J396" t="s">
        <v>119</v>
      </c>
      <c r="M396">
        <v>396</v>
      </c>
      <c r="P396" t="s">
        <v>46</v>
      </c>
      <c r="Q396" t="s">
        <v>1003</v>
      </c>
      <c r="R396" t="s">
        <v>48</v>
      </c>
      <c r="U396">
        <v>20</v>
      </c>
      <c r="V396">
        <v>2</v>
      </c>
      <c r="W396">
        <v>0.0</v>
      </c>
      <c r="X396">
        <v>0.0</v>
      </c>
      <c r="Y396">
        <v>0.0</v>
      </c>
      <c r="Z396">
        <v>0.0</v>
      </c>
      <c r="AA396">
        <v>0.0</v>
      </c>
      <c r="AB396">
        <v>0.0</v>
      </c>
      <c r="AC396">
        <v>0.0</v>
      </c>
      <c r="AD396">
        <v>0.0</v>
      </c>
      <c r="AE396" t="s">
        <v>411</v>
      </c>
    </row>
    <row r="397" spans="1:33">
      <c r="A397" t="s">
        <v>1085</v>
      </c>
      <c r="B397" t="s">
        <v>1086</v>
      </c>
      <c r="C397" t="s">
        <v>35</v>
      </c>
      <c r="D397" t="s">
        <v>36</v>
      </c>
      <c r="E397" t="s">
        <v>37</v>
      </c>
      <c r="F397" t="s">
        <v>37</v>
      </c>
      <c r="G397" t="s">
        <v>37</v>
      </c>
      <c r="H397">
        <v>1</v>
      </c>
      <c r="I397">
        <v>118</v>
      </c>
      <c r="J397" t="s">
        <v>38</v>
      </c>
      <c r="M397">
        <v>308</v>
      </c>
      <c r="N397" t="s">
        <v>39</v>
      </c>
      <c r="W397">
        <v>36.0</v>
      </c>
      <c r="X397">
        <v>30.0</v>
      </c>
      <c r="Y397">
        <v>33.25</v>
      </c>
      <c r="Z397">
        <v>0.0</v>
      </c>
      <c r="AA397">
        <v>0.0</v>
      </c>
      <c r="AB397">
        <v>0.0</v>
      </c>
      <c r="AC397">
        <v>0.0</v>
      </c>
      <c r="AD397">
        <v>0.0</v>
      </c>
    </row>
    <row r="398" spans="1:33">
      <c r="A398" t="s">
        <v>1087</v>
      </c>
      <c r="B398" t="s">
        <v>1088</v>
      </c>
      <c r="C398" t="s">
        <v>35</v>
      </c>
      <c r="D398" t="s">
        <v>36</v>
      </c>
      <c r="E398" t="s">
        <v>37</v>
      </c>
      <c r="F398" t="s">
        <v>37</v>
      </c>
      <c r="G398" t="s">
        <v>37</v>
      </c>
      <c r="H398">
        <v>1</v>
      </c>
      <c r="J398" t="s">
        <v>119</v>
      </c>
      <c r="M398">
        <v>330</v>
      </c>
      <c r="P398" t="s">
        <v>46</v>
      </c>
      <c r="Q398" t="s">
        <v>1025</v>
      </c>
      <c r="R398" t="s">
        <v>48</v>
      </c>
      <c r="S398">
        <v>4</v>
      </c>
      <c r="T398">
        <v>1</v>
      </c>
      <c r="U398">
        <v>4</v>
      </c>
      <c r="V398">
        <v>1</v>
      </c>
      <c r="W398">
        <v>0.0</v>
      </c>
      <c r="X398">
        <v>0.0</v>
      </c>
      <c r="Y398">
        <v>0.0</v>
      </c>
      <c r="Z398">
        <v>0.0</v>
      </c>
      <c r="AA398">
        <v>0.0</v>
      </c>
      <c r="AB398">
        <v>0.0</v>
      </c>
      <c r="AC398">
        <v>0.0</v>
      </c>
      <c r="AD398">
        <v>0.0</v>
      </c>
    </row>
    <row r="399" spans="1:33">
      <c r="A399" t="s">
        <v>1089</v>
      </c>
      <c r="B399" t="s">
        <v>1090</v>
      </c>
      <c r="C399" t="s">
        <v>35</v>
      </c>
      <c r="D399" t="s">
        <v>36</v>
      </c>
      <c r="E399" t="s">
        <v>37</v>
      </c>
      <c r="F399" t="s">
        <v>37</v>
      </c>
      <c r="G399" t="s">
        <v>37</v>
      </c>
      <c r="H399">
        <v>1</v>
      </c>
      <c r="I399">
        <v>82</v>
      </c>
      <c r="J399" t="s">
        <v>38</v>
      </c>
      <c r="M399">
        <v>435</v>
      </c>
      <c r="N399" t="s">
        <v>39</v>
      </c>
      <c r="W399">
        <v>62.0</v>
      </c>
      <c r="X399">
        <v>30.0</v>
      </c>
      <c r="Y399">
        <v>33.25</v>
      </c>
      <c r="Z399">
        <v>0.0</v>
      </c>
      <c r="AA399">
        <v>0.0</v>
      </c>
      <c r="AB399">
        <v>0.0</v>
      </c>
      <c r="AC399">
        <v>0.0</v>
      </c>
      <c r="AD399">
        <v>0.0</v>
      </c>
    </row>
    <row r="400" spans="1:33">
      <c r="A400" t="s">
        <v>1091</v>
      </c>
      <c r="B400" t="s">
        <v>1092</v>
      </c>
      <c r="C400" t="s">
        <v>35</v>
      </c>
      <c r="D400" t="s">
        <v>36</v>
      </c>
      <c r="E400" t="s">
        <v>37</v>
      </c>
      <c r="F400" t="s">
        <v>37</v>
      </c>
      <c r="G400" t="s">
        <v>37</v>
      </c>
      <c r="J400" t="s">
        <v>119</v>
      </c>
      <c r="M400">
        <v>462</v>
      </c>
      <c r="P400" t="s">
        <v>46</v>
      </c>
      <c r="Q400" t="s">
        <v>1025</v>
      </c>
      <c r="R400" t="s">
        <v>48</v>
      </c>
      <c r="S400">
        <v>2</v>
      </c>
      <c r="T400">
        <v>2</v>
      </c>
      <c r="U400">
        <v>2</v>
      </c>
      <c r="V400">
        <v>2</v>
      </c>
      <c r="W400">
        <v>0.0</v>
      </c>
      <c r="X400">
        <v>0.0</v>
      </c>
      <c r="Y400">
        <v>0.0</v>
      </c>
      <c r="Z400">
        <v>0.0</v>
      </c>
      <c r="AA400">
        <v>0.0</v>
      </c>
      <c r="AB400">
        <v>0.0</v>
      </c>
      <c r="AC400">
        <v>0.0</v>
      </c>
      <c r="AD400">
        <v>0.0</v>
      </c>
    </row>
    <row r="401" spans="1:33">
      <c r="A401" t="s">
        <v>1093</v>
      </c>
      <c r="B401" t="s">
        <v>1094</v>
      </c>
      <c r="C401" t="s">
        <v>35</v>
      </c>
      <c r="D401" t="s">
        <v>36</v>
      </c>
      <c r="E401" t="s">
        <v>37</v>
      </c>
      <c r="F401" t="s">
        <v>37</v>
      </c>
      <c r="G401" t="s">
        <v>37</v>
      </c>
      <c r="H401">
        <v>1</v>
      </c>
      <c r="I401">
        <v>59</v>
      </c>
      <c r="J401" t="s">
        <v>38</v>
      </c>
      <c r="M401">
        <v>550</v>
      </c>
      <c r="N401" t="s">
        <v>39</v>
      </c>
      <c r="W401">
        <v>87.0</v>
      </c>
      <c r="X401">
        <v>30.0</v>
      </c>
      <c r="Y401">
        <v>33.25</v>
      </c>
      <c r="Z401">
        <v>0.0</v>
      </c>
      <c r="AA401">
        <v>0.0</v>
      </c>
      <c r="AB401">
        <v>0.0</v>
      </c>
      <c r="AC401">
        <v>0.0</v>
      </c>
      <c r="AD401">
        <v>0.0</v>
      </c>
    </row>
    <row r="402" spans="1:33">
      <c r="A402" t="s">
        <v>1095</v>
      </c>
      <c r="B402" t="s">
        <v>1096</v>
      </c>
      <c r="C402" t="s">
        <v>35</v>
      </c>
      <c r="D402" t="s">
        <v>36</v>
      </c>
      <c r="E402" t="s">
        <v>37</v>
      </c>
      <c r="F402" t="s">
        <v>37</v>
      </c>
      <c r="G402" t="s">
        <v>37</v>
      </c>
      <c r="J402" t="s">
        <v>119</v>
      </c>
      <c r="M402">
        <v>616</v>
      </c>
      <c r="P402" t="s">
        <v>46</v>
      </c>
      <c r="Q402" t="s">
        <v>1025</v>
      </c>
      <c r="R402" t="s">
        <v>48</v>
      </c>
      <c r="S402">
        <v>2</v>
      </c>
      <c r="T402">
        <v>2</v>
      </c>
      <c r="U402">
        <v>2</v>
      </c>
      <c r="V402">
        <v>2</v>
      </c>
      <c r="W402">
        <v>0.0</v>
      </c>
      <c r="X402">
        <v>0.0</v>
      </c>
      <c r="Y402">
        <v>0.0</v>
      </c>
      <c r="Z402">
        <v>0.0</v>
      </c>
      <c r="AA402">
        <v>0.0</v>
      </c>
      <c r="AB402">
        <v>0.0</v>
      </c>
      <c r="AC402">
        <v>0.0</v>
      </c>
      <c r="AD402">
        <v>0.0</v>
      </c>
    </row>
    <row r="403" spans="1:33">
      <c r="A403" t="s">
        <v>1097</v>
      </c>
      <c r="B403" t="s">
        <v>1098</v>
      </c>
      <c r="C403" t="s">
        <v>35</v>
      </c>
      <c r="D403" t="s">
        <v>36</v>
      </c>
      <c r="E403" t="s">
        <v>37</v>
      </c>
      <c r="F403" t="s">
        <v>37</v>
      </c>
      <c r="G403" t="s">
        <v>37</v>
      </c>
      <c r="J403" t="s">
        <v>43</v>
      </c>
      <c r="K403">
        <v>334247190</v>
      </c>
      <c r="L403" t="s">
        <v>1099</v>
      </c>
      <c r="M403">
        <v>328.57</v>
      </c>
      <c r="O403" t="s">
        <v>1100</v>
      </c>
      <c r="P403" t="s">
        <v>46</v>
      </c>
      <c r="Q403">
        <v>9401.61</v>
      </c>
      <c r="R403" t="s">
        <v>471</v>
      </c>
      <c r="W403">
        <v>0.0</v>
      </c>
      <c r="X403">
        <v>0.0</v>
      </c>
      <c r="Y403">
        <v>0.0</v>
      </c>
      <c r="Z403">
        <v>0.0</v>
      </c>
      <c r="AA403">
        <v>0.0</v>
      </c>
      <c r="AB403">
        <v>0.0</v>
      </c>
      <c r="AC403">
        <v>0.0</v>
      </c>
      <c r="AD403">
        <v>0.0</v>
      </c>
      <c r="AG403" t="str">
        <f>HYPERLINK("https://fwc26.smmarta.com/nomenclature/1256/images-download", "Download")</f>
        <v>0</v>
      </c>
    </row>
    <row r="404" spans="1:33">
      <c r="A404" t="s">
        <v>1101</v>
      </c>
      <c r="B404" t="s">
        <v>1102</v>
      </c>
      <c r="C404" t="s">
        <v>35</v>
      </c>
      <c r="D404" t="s">
        <v>36</v>
      </c>
      <c r="E404" t="s">
        <v>37</v>
      </c>
      <c r="F404" t="s">
        <v>37</v>
      </c>
      <c r="G404" t="s">
        <v>37</v>
      </c>
      <c r="H404">
        <v>1</v>
      </c>
      <c r="J404" t="s">
        <v>119</v>
      </c>
      <c r="M404">
        <v>198</v>
      </c>
      <c r="S404">
        <v>8</v>
      </c>
      <c r="T404">
        <v>1</v>
      </c>
      <c r="U404">
        <v>8</v>
      </c>
      <c r="V404">
        <v>1</v>
      </c>
      <c r="W404">
        <v>43.3</v>
      </c>
      <c r="X404">
        <v>43.3</v>
      </c>
      <c r="Y404">
        <v>51.1</v>
      </c>
      <c r="Z404">
        <v>0.0</v>
      </c>
      <c r="AA404">
        <v>0.0</v>
      </c>
      <c r="AB404">
        <v>0.0</v>
      </c>
      <c r="AC404">
        <v>0.0</v>
      </c>
      <c r="AD404">
        <v>0.0</v>
      </c>
    </row>
    <row r="405" spans="1:33">
      <c r="A405" t="s">
        <v>1103</v>
      </c>
      <c r="B405" t="s">
        <v>1104</v>
      </c>
      <c r="C405" t="s">
        <v>35</v>
      </c>
      <c r="D405" t="s">
        <v>36</v>
      </c>
      <c r="E405" t="s">
        <v>37</v>
      </c>
      <c r="F405" t="s">
        <v>37</v>
      </c>
      <c r="G405" t="s">
        <v>37</v>
      </c>
      <c r="J405" t="s">
        <v>43</v>
      </c>
      <c r="K405">
        <v>307283636</v>
      </c>
      <c r="L405" t="s">
        <v>1105</v>
      </c>
      <c r="M405">
        <v>153.18</v>
      </c>
      <c r="O405" t="s">
        <v>1106</v>
      </c>
      <c r="P405" t="s">
        <v>46</v>
      </c>
      <c r="Q405">
        <v>9401.8</v>
      </c>
      <c r="R405" t="s">
        <v>48</v>
      </c>
      <c r="W405">
        <v>0.0</v>
      </c>
      <c r="X405">
        <v>0.0</v>
      </c>
      <c r="Y405">
        <v>0.0</v>
      </c>
      <c r="Z405">
        <v>0.0</v>
      </c>
      <c r="AA405">
        <v>0.0</v>
      </c>
      <c r="AB405">
        <v>0.0</v>
      </c>
      <c r="AC405">
        <v>0.0</v>
      </c>
      <c r="AD405">
        <v>0.0</v>
      </c>
      <c r="AG405" t="str">
        <f>HYPERLINK("https://fwc26.smmarta.com/nomenclature/1092/images-download", "Download")</f>
        <v>0</v>
      </c>
    </row>
    <row r="406" spans="1:33">
      <c r="A406" t="s">
        <v>1107</v>
      </c>
      <c r="B406" t="s">
        <v>1108</v>
      </c>
      <c r="C406" t="s">
        <v>35</v>
      </c>
      <c r="D406" t="s">
        <v>36</v>
      </c>
      <c r="E406" t="s">
        <v>37</v>
      </c>
      <c r="F406" t="s">
        <v>37</v>
      </c>
      <c r="G406" t="s">
        <v>113</v>
      </c>
      <c r="H406">
        <v>1</v>
      </c>
      <c r="J406" t="s">
        <v>62</v>
      </c>
      <c r="M406">
        <v>322</v>
      </c>
      <c r="P406" t="s">
        <v>63</v>
      </c>
      <c r="R406" t="s">
        <v>48</v>
      </c>
      <c r="S406">
        <v>4</v>
      </c>
      <c r="T406">
        <v>1</v>
      </c>
      <c r="U406">
        <v>4</v>
      </c>
      <c r="V406">
        <v>1</v>
      </c>
      <c r="W406">
        <v>0.0</v>
      </c>
      <c r="X406">
        <v>0.0</v>
      </c>
      <c r="Y406">
        <v>0.0</v>
      </c>
      <c r="Z406">
        <v>0.0</v>
      </c>
      <c r="AA406">
        <v>0.0</v>
      </c>
      <c r="AB406">
        <v>0.0</v>
      </c>
      <c r="AC406">
        <v>0.0</v>
      </c>
      <c r="AD406">
        <v>0.0</v>
      </c>
      <c r="AG406" t="str">
        <f>HYPERLINK("https://fwc26.smmarta.com/nomenclature/632/images-download", "Download")</f>
        <v>0</v>
      </c>
    </row>
    <row r="407" spans="1:33">
      <c r="A407" t="s">
        <v>1109</v>
      </c>
      <c r="B407" t="s">
        <v>1108</v>
      </c>
      <c r="C407" t="s">
        <v>35</v>
      </c>
      <c r="D407" t="s">
        <v>36</v>
      </c>
      <c r="E407" t="s">
        <v>37</v>
      </c>
      <c r="F407" t="s">
        <v>37</v>
      </c>
      <c r="G407" t="s">
        <v>37</v>
      </c>
      <c r="H407">
        <v>1</v>
      </c>
      <c r="J407" t="s">
        <v>119</v>
      </c>
      <c r="M407">
        <v>319</v>
      </c>
      <c r="P407" t="s">
        <v>46</v>
      </c>
      <c r="Q407" t="s">
        <v>1110</v>
      </c>
      <c r="R407" t="s">
        <v>48</v>
      </c>
      <c r="S407">
        <v>12</v>
      </c>
      <c r="T407">
        <v>1</v>
      </c>
      <c r="U407">
        <v>12</v>
      </c>
      <c r="V407">
        <v>1</v>
      </c>
      <c r="W407">
        <v>0.0</v>
      </c>
      <c r="X407">
        <v>0.0</v>
      </c>
      <c r="Y407">
        <v>0.0</v>
      </c>
      <c r="Z407">
        <v>0.0</v>
      </c>
      <c r="AA407">
        <v>0.0</v>
      </c>
      <c r="AB407">
        <v>0.0</v>
      </c>
      <c r="AC407">
        <v>0.0</v>
      </c>
      <c r="AD407">
        <v>0.0</v>
      </c>
      <c r="AE407" t="s">
        <v>121</v>
      </c>
    </row>
    <row r="408" spans="1:33">
      <c r="A408" t="s">
        <v>1111</v>
      </c>
      <c r="B408" t="s">
        <v>1112</v>
      </c>
      <c r="C408" t="s">
        <v>35</v>
      </c>
      <c r="D408" t="s">
        <v>36</v>
      </c>
      <c r="E408" t="s">
        <v>37</v>
      </c>
      <c r="F408" t="s">
        <v>37</v>
      </c>
      <c r="G408" t="s">
        <v>37</v>
      </c>
      <c r="J408" t="s">
        <v>312</v>
      </c>
      <c r="K408" t="s">
        <v>1113</v>
      </c>
      <c r="L408" t="s">
        <v>312</v>
      </c>
      <c r="M408">
        <v>230</v>
      </c>
      <c r="O408" t="s">
        <v>1114</v>
      </c>
      <c r="P408" t="s">
        <v>46</v>
      </c>
      <c r="Q408" t="s">
        <v>1110</v>
      </c>
      <c r="R408" t="s">
        <v>48</v>
      </c>
      <c r="S408">
        <v>16</v>
      </c>
      <c r="T408">
        <v>1</v>
      </c>
      <c r="U408">
        <v>16</v>
      </c>
      <c r="V408">
        <v>1</v>
      </c>
      <c r="W408">
        <v>23.0</v>
      </c>
      <c r="X408">
        <v>24.0</v>
      </c>
      <c r="Y408">
        <v>69.0</v>
      </c>
      <c r="Z408">
        <v>43.0</v>
      </c>
      <c r="AA408">
        <v>0.0</v>
      </c>
      <c r="AB408">
        <v>0.0</v>
      </c>
      <c r="AC408">
        <v>0.0</v>
      </c>
      <c r="AD408">
        <v>0.0</v>
      </c>
      <c r="AE408" t="s">
        <v>121</v>
      </c>
      <c r="AG408" t="str">
        <f>HYPERLINK("https://fwc26.smmarta.com/nomenclature/1263/images-download", "Download")</f>
        <v>0</v>
      </c>
    </row>
    <row r="409" spans="1:33">
      <c r="A409" t="s">
        <v>1115</v>
      </c>
      <c r="B409" t="s">
        <v>1116</v>
      </c>
      <c r="C409" t="s">
        <v>35</v>
      </c>
      <c r="D409" t="s">
        <v>36</v>
      </c>
      <c r="E409" t="s">
        <v>37</v>
      </c>
      <c r="F409" t="s">
        <v>37</v>
      </c>
      <c r="G409" t="s">
        <v>113</v>
      </c>
      <c r="H409">
        <v>1</v>
      </c>
      <c r="J409" t="s">
        <v>62</v>
      </c>
      <c r="M409">
        <v>125</v>
      </c>
      <c r="P409" t="s">
        <v>63</v>
      </c>
      <c r="Q409">
        <v>940320</v>
      </c>
      <c r="R409" t="s">
        <v>48</v>
      </c>
      <c r="S409">
        <v>10</v>
      </c>
      <c r="T409">
        <v>1</v>
      </c>
      <c r="U409">
        <v>10</v>
      </c>
      <c r="V409">
        <v>1</v>
      </c>
      <c r="W409">
        <v>0.0</v>
      </c>
      <c r="X409">
        <v>0.0</v>
      </c>
      <c r="Y409">
        <v>0.0</v>
      </c>
      <c r="Z409">
        <v>0.0</v>
      </c>
      <c r="AA409">
        <v>0.0</v>
      </c>
      <c r="AB409">
        <v>0.0</v>
      </c>
      <c r="AC409">
        <v>0.0</v>
      </c>
      <c r="AD409">
        <v>0.0</v>
      </c>
      <c r="AG409" t="str">
        <f>HYPERLINK("https://fwc26.smmarta.com/nomenclature/633/images-download", "Download")</f>
        <v>0</v>
      </c>
    </row>
    <row r="410" spans="1:33">
      <c r="A410" t="s">
        <v>1117</v>
      </c>
      <c r="B410" t="s">
        <v>1118</v>
      </c>
      <c r="C410" t="s">
        <v>35</v>
      </c>
      <c r="D410" t="s">
        <v>36</v>
      </c>
      <c r="E410" t="s">
        <v>37</v>
      </c>
      <c r="F410" t="s">
        <v>37</v>
      </c>
      <c r="G410" t="s">
        <v>37</v>
      </c>
      <c r="H410">
        <v>1</v>
      </c>
      <c r="I410">
        <v>160</v>
      </c>
      <c r="J410" t="s">
        <v>38</v>
      </c>
      <c r="M410">
        <v>98</v>
      </c>
      <c r="N410" t="s">
        <v>39</v>
      </c>
      <c r="W410">
        <v>60.0</v>
      </c>
      <c r="X410">
        <v>20.0</v>
      </c>
      <c r="Y410">
        <v>66.0</v>
      </c>
      <c r="Z410">
        <v>0.0</v>
      </c>
      <c r="AA410">
        <v>0.0</v>
      </c>
      <c r="AB410">
        <v>0.0</v>
      </c>
      <c r="AC410">
        <v>0.0</v>
      </c>
      <c r="AD410">
        <v>0.0</v>
      </c>
    </row>
    <row r="411" spans="1:33">
      <c r="A411" t="s">
        <v>1119</v>
      </c>
      <c r="B411" t="s">
        <v>1120</v>
      </c>
      <c r="C411" t="s">
        <v>35</v>
      </c>
      <c r="D411" t="s">
        <v>36</v>
      </c>
      <c r="E411" t="s">
        <v>37</v>
      </c>
      <c r="F411" t="s">
        <v>37</v>
      </c>
      <c r="G411" t="s">
        <v>37</v>
      </c>
      <c r="H411">
        <v>1</v>
      </c>
      <c r="I411">
        <v>170</v>
      </c>
      <c r="J411" t="s">
        <v>38</v>
      </c>
      <c r="M411">
        <v>98</v>
      </c>
      <c r="N411" t="s">
        <v>39</v>
      </c>
      <c r="W411">
        <v>59.0</v>
      </c>
      <c r="X411">
        <v>59.0</v>
      </c>
      <c r="Y411">
        <v>65.0</v>
      </c>
      <c r="Z411">
        <v>0.0</v>
      </c>
      <c r="AA411">
        <v>0.0</v>
      </c>
      <c r="AB411">
        <v>0.0</v>
      </c>
      <c r="AC411">
        <v>0.0</v>
      </c>
      <c r="AD411">
        <v>0.0</v>
      </c>
    </row>
    <row r="412" spans="1:33">
      <c r="A412" t="s">
        <v>1121</v>
      </c>
      <c r="B412" t="s">
        <v>1122</v>
      </c>
      <c r="C412" t="s">
        <v>35</v>
      </c>
      <c r="D412" t="s">
        <v>36</v>
      </c>
      <c r="E412" t="s">
        <v>37</v>
      </c>
      <c r="F412" t="s">
        <v>37</v>
      </c>
      <c r="G412" t="s">
        <v>37</v>
      </c>
      <c r="J412" t="s">
        <v>43</v>
      </c>
      <c r="K412">
        <v>310162788</v>
      </c>
      <c r="L412" t="s">
        <v>1123</v>
      </c>
      <c r="M412">
        <v>116.63</v>
      </c>
      <c r="O412" t="s">
        <v>1124</v>
      </c>
      <c r="P412" t="s">
        <v>46</v>
      </c>
      <c r="Q412">
        <v>9403.2</v>
      </c>
      <c r="R412" t="s">
        <v>48</v>
      </c>
      <c r="S412">
        <v>10</v>
      </c>
      <c r="T412">
        <v>1</v>
      </c>
      <c r="U412">
        <v>10</v>
      </c>
      <c r="V412">
        <v>1</v>
      </c>
      <c r="W412">
        <v>0.0</v>
      </c>
      <c r="X412">
        <v>0.0</v>
      </c>
      <c r="Y412">
        <v>0.0</v>
      </c>
      <c r="Z412">
        <v>0.0</v>
      </c>
      <c r="AA412">
        <v>0.0</v>
      </c>
      <c r="AB412">
        <v>0.0</v>
      </c>
      <c r="AC412">
        <v>0.0</v>
      </c>
      <c r="AD412">
        <v>0.0</v>
      </c>
      <c r="AG412" t="str">
        <f>HYPERLINK("https://fwc26.smmarta.com/nomenclature/760/images-download", "Download")</f>
        <v>0</v>
      </c>
    </row>
    <row r="413" spans="1:33">
      <c r="A413" t="s">
        <v>1125</v>
      </c>
      <c r="B413" t="s">
        <v>1116</v>
      </c>
      <c r="C413" t="s">
        <v>35</v>
      </c>
      <c r="D413" t="s">
        <v>36</v>
      </c>
      <c r="E413" t="s">
        <v>37</v>
      </c>
      <c r="F413" t="s">
        <v>37</v>
      </c>
      <c r="G413" t="s">
        <v>37</v>
      </c>
      <c r="H413">
        <v>1</v>
      </c>
      <c r="J413" t="s">
        <v>119</v>
      </c>
      <c r="M413">
        <v>88</v>
      </c>
      <c r="P413">
        <v>9817</v>
      </c>
      <c r="Q413" t="s">
        <v>1003</v>
      </c>
      <c r="R413" t="s">
        <v>48</v>
      </c>
      <c r="U413">
        <v>26</v>
      </c>
      <c r="V413">
        <v>2</v>
      </c>
      <c r="W413">
        <v>0.0</v>
      </c>
      <c r="X413">
        <v>0.0</v>
      </c>
      <c r="Y413">
        <v>0.0</v>
      </c>
      <c r="Z413">
        <v>0.0</v>
      </c>
      <c r="AA413">
        <v>0.0</v>
      </c>
      <c r="AB413">
        <v>0.0</v>
      </c>
      <c r="AC413">
        <v>0.0</v>
      </c>
      <c r="AD413">
        <v>0.0</v>
      </c>
      <c r="AE413" t="s">
        <v>121</v>
      </c>
    </row>
    <row r="414" spans="1:33">
      <c r="A414" t="s">
        <v>1126</v>
      </c>
      <c r="B414" t="s">
        <v>1127</v>
      </c>
      <c r="C414" t="s">
        <v>35</v>
      </c>
      <c r="D414" t="s">
        <v>36</v>
      </c>
      <c r="E414" t="s">
        <v>37</v>
      </c>
      <c r="F414" t="s">
        <v>37</v>
      </c>
      <c r="G414" t="s">
        <v>113</v>
      </c>
      <c r="H414">
        <v>1</v>
      </c>
      <c r="J414" t="s">
        <v>62</v>
      </c>
      <c r="M414">
        <v>875</v>
      </c>
      <c r="P414" t="s">
        <v>63</v>
      </c>
      <c r="R414" t="s">
        <v>48</v>
      </c>
      <c r="S414">
        <v>4</v>
      </c>
      <c r="T414">
        <v>1</v>
      </c>
      <c r="U414">
        <v>4</v>
      </c>
      <c r="V414">
        <v>1</v>
      </c>
      <c r="W414">
        <v>0.0</v>
      </c>
      <c r="X414">
        <v>0.0</v>
      </c>
      <c r="Y414">
        <v>0.0</v>
      </c>
      <c r="Z414">
        <v>0.0</v>
      </c>
      <c r="AA414">
        <v>0.0</v>
      </c>
      <c r="AB414">
        <v>0.0</v>
      </c>
      <c r="AC414">
        <v>0.0</v>
      </c>
      <c r="AD414">
        <v>0.0</v>
      </c>
      <c r="AG414" t="str">
        <f>HYPERLINK("https://fwc26.smmarta.com/nomenclature/634/images-download", "Download")</f>
        <v>0</v>
      </c>
    </row>
    <row r="415" spans="1:33">
      <c r="A415" t="s">
        <v>1128</v>
      </c>
      <c r="B415" t="s">
        <v>1129</v>
      </c>
      <c r="C415" t="s">
        <v>35</v>
      </c>
      <c r="D415" t="s">
        <v>36</v>
      </c>
      <c r="E415" t="s">
        <v>37</v>
      </c>
      <c r="F415" t="s">
        <v>37</v>
      </c>
      <c r="G415" t="s">
        <v>113</v>
      </c>
      <c r="H415">
        <v>1</v>
      </c>
      <c r="J415" t="s">
        <v>62</v>
      </c>
      <c r="M415">
        <v>0</v>
      </c>
      <c r="P415" t="s">
        <v>1130</v>
      </c>
      <c r="R415" t="s">
        <v>48</v>
      </c>
      <c r="S415">
        <v>4</v>
      </c>
      <c r="T415">
        <v>1</v>
      </c>
      <c r="U415">
        <v>4</v>
      </c>
      <c r="V415">
        <v>1</v>
      </c>
      <c r="W415">
        <v>0.0</v>
      </c>
      <c r="X415">
        <v>0.0</v>
      </c>
      <c r="Y415">
        <v>0.0</v>
      </c>
      <c r="Z415">
        <v>0.0</v>
      </c>
      <c r="AA415">
        <v>0.0</v>
      </c>
      <c r="AB415">
        <v>0.0</v>
      </c>
      <c r="AC415">
        <v>0.0</v>
      </c>
      <c r="AD415">
        <v>0.0</v>
      </c>
    </row>
    <row r="416" spans="1:33">
      <c r="A416" t="s">
        <v>1131</v>
      </c>
      <c r="B416" t="s">
        <v>1132</v>
      </c>
      <c r="C416" t="s">
        <v>35</v>
      </c>
      <c r="D416" t="s">
        <v>36</v>
      </c>
      <c r="E416" t="s">
        <v>37</v>
      </c>
      <c r="F416" t="s">
        <v>37</v>
      </c>
      <c r="G416" t="s">
        <v>37</v>
      </c>
      <c r="J416" t="s">
        <v>43</v>
      </c>
      <c r="K416">
        <v>203078666</v>
      </c>
      <c r="L416" t="s">
        <v>1133</v>
      </c>
      <c r="M416">
        <v>1105.87</v>
      </c>
      <c r="O416" t="s">
        <v>1134</v>
      </c>
      <c r="P416" t="s">
        <v>46</v>
      </c>
      <c r="Q416">
        <v>8303.0</v>
      </c>
      <c r="R416" t="s">
        <v>48</v>
      </c>
      <c r="S416">
        <v>4</v>
      </c>
      <c r="T416">
        <v>1</v>
      </c>
      <c r="U416">
        <v>4</v>
      </c>
      <c r="V416">
        <v>1</v>
      </c>
      <c r="W416">
        <v>0.0</v>
      </c>
      <c r="X416">
        <v>0.0</v>
      </c>
      <c r="Y416">
        <v>0.0</v>
      </c>
      <c r="Z416">
        <v>0.0</v>
      </c>
      <c r="AA416">
        <v>0.0</v>
      </c>
      <c r="AB416">
        <v>0.0</v>
      </c>
      <c r="AC416">
        <v>0.0</v>
      </c>
      <c r="AD416">
        <v>0.0</v>
      </c>
      <c r="AG416" t="str">
        <f>HYPERLINK("https://fwc26.smmarta.com/nomenclature/761/images-download", "Download")</f>
        <v>0</v>
      </c>
    </row>
    <row r="417" spans="1:33">
      <c r="A417" t="s">
        <v>1135</v>
      </c>
      <c r="B417" t="s">
        <v>1136</v>
      </c>
      <c r="C417" t="s">
        <v>35</v>
      </c>
      <c r="D417" t="s">
        <v>36</v>
      </c>
      <c r="E417" t="s">
        <v>37</v>
      </c>
      <c r="F417" t="s">
        <v>37</v>
      </c>
      <c r="G417" t="s">
        <v>37</v>
      </c>
      <c r="H417">
        <v>1</v>
      </c>
      <c r="J417" t="s">
        <v>119</v>
      </c>
      <c r="M417">
        <v>1540</v>
      </c>
      <c r="P417" t="s">
        <v>46</v>
      </c>
      <c r="Q417" t="s">
        <v>318</v>
      </c>
      <c r="R417" t="s">
        <v>1137</v>
      </c>
      <c r="S417">
        <v>4</v>
      </c>
      <c r="T417">
        <v>1</v>
      </c>
      <c r="U417">
        <v>4</v>
      </c>
      <c r="V417">
        <v>1</v>
      </c>
      <c r="W417">
        <v>0.0</v>
      </c>
      <c r="X417">
        <v>0.0</v>
      </c>
      <c r="Y417">
        <v>0.0</v>
      </c>
      <c r="Z417">
        <v>0.0</v>
      </c>
      <c r="AA417">
        <v>0.0</v>
      </c>
      <c r="AB417">
        <v>0.0</v>
      </c>
      <c r="AC417">
        <v>0.0</v>
      </c>
      <c r="AD417">
        <v>0.0</v>
      </c>
    </row>
    <row r="418" spans="1:33">
      <c r="A418" t="s">
        <v>1138</v>
      </c>
      <c r="B418" t="s">
        <v>1139</v>
      </c>
      <c r="C418" t="s">
        <v>35</v>
      </c>
      <c r="D418" t="s">
        <v>36</v>
      </c>
      <c r="E418" t="s">
        <v>37</v>
      </c>
      <c r="F418" t="s">
        <v>37</v>
      </c>
      <c r="G418" t="s">
        <v>37</v>
      </c>
      <c r="H418">
        <v>1</v>
      </c>
      <c r="J418" t="s">
        <v>62</v>
      </c>
      <c r="M418">
        <v>111</v>
      </c>
      <c r="P418" t="s">
        <v>62</v>
      </c>
      <c r="Q418" t="s">
        <v>1140</v>
      </c>
      <c r="R418" t="s">
        <v>48</v>
      </c>
      <c r="S418">
        <v>2</v>
      </c>
      <c r="T418">
        <v>1</v>
      </c>
      <c r="U418">
        <v>10</v>
      </c>
      <c r="V418">
        <v>1</v>
      </c>
      <c r="W418">
        <v>0.0</v>
      </c>
      <c r="X418">
        <v>0.0</v>
      </c>
      <c r="Y418">
        <v>0.0</v>
      </c>
      <c r="Z418">
        <v>0.0</v>
      </c>
      <c r="AA418">
        <v>0.0</v>
      </c>
      <c r="AB418">
        <v>0.0</v>
      </c>
      <c r="AC418">
        <v>0.0</v>
      </c>
      <c r="AD418">
        <v>0.0</v>
      </c>
      <c r="AG418" t="str">
        <f>HYPERLINK("https://fwc26.smmarta.com/nomenclature/732/images-download", "Download")</f>
        <v>0</v>
      </c>
    </row>
    <row r="419" spans="1:33">
      <c r="A419" t="s">
        <v>1141</v>
      </c>
      <c r="B419" t="s">
        <v>1142</v>
      </c>
      <c r="C419" t="s">
        <v>35</v>
      </c>
      <c r="D419" t="s">
        <v>36</v>
      </c>
      <c r="E419" t="s">
        <v>37</v>
      </c>
      <c r="F419" t="s">
        <v>37</v>
      </c>
      <c r="G419" t="s">
        <v>37</v>
      </c>
      <c r="H419">
        <v>1</v>
      </c>
      <c r="J419" t="s">
        <v>62</v>
      </c>
      <c r="M419">
        <v>111</v>
      </c>
      <c r="P419" t="s">
        <v>62</v>
      </c>
      <c r="Q419" t="s">
        <v>1143</v>
      </c>
      <c r="R419" t="s">
        <v>48</v>
      </c>
      <c r="S419">
        <v>2</v>
      </c>
      <c r="T419">
        <v>1</v>
      </c>
      <c r="U419">
        <v>12</v>
      </c>
      <c r="V419">
        <v>1</v>
      </c>
      <c r="W419">
        <v>0.0</v>
      </c>
      <c r="X419">
        <v>0.0</v>
      </c>
      <c r="Y419">
        <v>0.0</v>
      </c>
      <c r="Z419">
        <v>0.0</v>
      </c>
      <c r="AA419">
        <v>0.0</v>
      </c>
      <c r="AB419">
        <v>0.0</v>
      </c>
      <c r="AC419">
        <v>0.0</v>
      </c>
      <c r="AD419">
        <v>0.0</v>
      </c>
      <c r="AE419" t="s">
        <v>121</v>
      </c>
      <c r="AG419" t="str">
        <f>HYPERLINK("https://fwc26.smmarta.com/nomenclature/733/images-download", "Download")</f>
        <v>0</v>
      </c>
    </row>
    <row r="420" spans="1:33">
      <c r="A420" t="s">
        <v>1144</v>
      </c>
      <c r="B420" t="s">
        <v>1145</v>
      </c>
      <c r="C420" t="s">
        <v>35</v>
      </c>
      <c r="D420" t="s">
        <v>36</v>
      </c>
      <c r="E420" t="s">
        <v>37</v>
      </c>
      <c r="F420" t="s">
        <v>37</v>
      </c>
      <c r="G420" t="s">
        <v>37</v>
      </c>
      <c r="H420">
        <v>1</v>
      </c>
      <c r="J420" t="s">
        <v>62</v>
      </c>
      <c r="M420">
        <v>111</v>
      </c>
      <c r="P420" t="s">
        <v>62</v>
      </c>
      <c r="Q420" t="s">
        <v>1143</v>
      </c>
      <c r="R420" t="s">
        <v>48</v>
      </c>
      <c r="S420">
        <v>2</v>
      </c>
      <c r="T420">
        <v>1</v>
      </c>
      <c r="U420">
        <v>10</v>
      </c>
      <c r="V420">
        <v>1</v>
      </c>
      <c r="W420">
        <v>0.0</v>
      </c>
      <c r="X420">
        <v>0.0</v>
      </c>
      <c r="Y420">
        <v>0.0</v>
      </c>
      <c r="Z420">
        <v>0.0</v>
      </c>
      <c r="AA420">
        <v>0.0</v>
      </c>
      <c r="AB420">
        <v>0.0</v>
      </c>
      <c r="AC420">
        <v>0.0</v>
      </c>
      <c r="AD420">
        <v>0.0</v>
      </c>
      <c r="AE420" t="s">
        <v>121</v>
      </c>
      <c r="AG420" t="str">
        <f>HYPERLINK("https://fwc26.smmarta.com/nomenclature/734/images-download", "Download")</f>
        <v>0</v>
      </c>
    </row>
    <row r="421" spans="1:33">
      <c r="A421" t="s">
        <v>1146</v>
      </c>
      <c r="B421" t="s">
        <v>1147</v>
      </c>
      <c r="C421" t="s">
        <v>35</v>
      </c>
      <c r="D421" t="s">
        <v>36</v>
      </c>
      <c r="E421" t="s">
        <v>37</v>
      </c>
      <c r="F421" t="s">
        <v>37</v>
      </c>
      <c r="G421" t="s">
        <v>37</v>
      </c>
      <c r="J421" t="s">
        <v>43</v>
      </c>
      <c r="K421">
        <v>306331734</v>
      </c>
      <c r="L421" t="s">
        <v>1148</v>
      </c>
      <c r="M421">
        <v>59.48</v>
      </c>
      <c r="O421" t="s">
        <v>1149</v>
      </c>
      <c r="P421" t="s">
        <v>46</v>
      </c>
      <c r="Q421" t="s">
        <v>1140</v>
      </c>
      <c r="R421" t="s">
        <v>144</v>
      </c>
      <c r="S421">
        <v>3</v>
      </c>
      <c r="T421">
        <v>1</v>
      </c>
      <c r="U421">
        <v>24</v>
      </c>
      <c r="V421">
        <v>1</v>
      </c>
      <c r="W421">
        <v>0.0</v>
      </c>
      <c r="X421">
        <v>0.0</v>
      </c>
      <c r="Y421">
        <v>0.0</v>
      </c>
      <c r="Z421">
        <v>0.0</v>
      </c>
      <c r="AA421">
        <v>0.0</v>
      </c>
      <c r="AB421">
        <v>0.0</v>
      </c>
      <c r="AC421">
        <v>0.0</v>
      </c>
      <c r="AD421">
        <v>0.0</v>
      </c>
      <c r="AE421" t="s">
        <v>121</v>
      </c>
      <c r="AG421" t="str">
        <f>HYPERLINK("https://fwc26.smmarta.com/nomenclature/741/images-download", "Download")</f>
        <v>0</v>
      </c>
    </row>
    <row r="422" spans="1:33">
      <c r="A422" t="s">
        <v>1150</v>
      </c>
      <c r="B422" t="s">
        <v>1151</v>
      </c>
      <c r="C422" t="s">
        <v>35</v>
      </c>
      <c r="D422" t="s">
        <v>36</v>
      </c>
      <c r="E422" t="s">
        <v>37</v>
      </c>
      <c r="F422" t="s">
        <v>37</v>
      </c>
      <c r="G422" t="s">
        <v>37</v>
      </c>
      <c r="H422">
        <v>1</v>
      </c>
      <c r="J422" t="s">
        <v>119</v>
      </c>
      <c r="M422">
        <v>170.5</v>
      </c>
      <c r="P422" t="s">
        <v>46</v>
      </c>
      <c r="Q422" t="s">
        <v>1140</v>
      </c>
      <c r="R422" t="s">
        <v>144</v>
      </c>
      <c r="S422">
        <v>10</v>
      </c>
      <c r="T422">
        <v>1</v>
      </c>
      <c r="U422">
        <v>10</v>
      </c>
      <c r="V422">
        <v>1</v>
      </c>
      <c r="W422">
        <v>0.0</v>
      </c>
      <c r="X422">
        <v>0.0</v>
      </c>
      <c r="Y422">
        <v>0.0</v>
      </c>
      <c r="Z422">
        <v>0.0</v>
      </c>
      <c r="AA422">
        <v>0.0</v>
      </c>
      <c r="AB422">
        <v>0.0</v>
      </c>
      <c r="AC422">
        <v>0.0</v>
      </c>
      <c r="AD422">
        <v>0.0</v>
      </c>
      <c r="AE422" t="s">
        <v>121</v>
      </c>
    </row>
    <row r="423" spans="1:33">
      <c r="A423" t="s">
        <v>1152</v>
      </c>
      <c r="B423" t="s">
        <v>1153</v>
      </c>
      <c r="C423" t="s">
        <v>35</v>
      </c>
      <c r="D423" t="s">
        <v>36</v>
      </c>
      <c r="E423" t="s">
        <v>37</v>
      </c>
      <c r="F423" t="s">
        <v>37</v>
      </c>
      <c r="G423" t="s">
        <v>37</v>
      </c>
      <c r="H423">
        <v>1</v>
      </c>
      <c r="J423" t="s">
        <v>62</v>
      </c>
      <c r="M423">
        <v>163</v>
      </c>
      <c r="P423" t="s">
        <v>63</v>
      </c>
      <c r="Q423" t="s">
        <v>1154</v>
      </c>
      <c r="R423" t="s">
        <v>170</v>
      </c>
      <c r="S423">
        <v>25</v>
      </c>
      <c r="T423">
        <v>1</v>
      </c>
      <c r="U423">
        <v>25</v>
      </c>
      <c r="V423">
        <v>1</v>
      </c>
      <c r="W423">
        <v>0.0</v>
      </c>
      <c r="X423">
        <v>0.0</v>
      </c>
      <c r="Y423">
        <v>0.0</v>
      </c>
      <c r="Z423">
        <v>0.0</v>
      </c>
      <c r="AA423">
        <v>0.0</v>
      </c>
      <c r="AB423">
        <v>0.0</v>
      </c>
      <c r="AC423">
        <v>0.0</v>
      </c>
      <c r="AD423">
        <v>0.0</v>
      </c>
      <c r="AG423" t="str">
        <f>HYPERLINK("https://fwc26.smmarta.com/nomenclature/639/images-download", "Download")</f>
        <v>0</v>
      </c>
    </row>
    <row r="424" spans="1:33">
      <c r="A424" t="s">
        <v>1155</v>
      </c>
      <c r="B424" t="s">
        <v>1156</v>
      </c>
      <c r="C424" t="s">
        <v>35</v>
      </c>
      <c r="D424" t="s">
        <v>36</v>
      </c>
      <c r="E424" t="s">
        <v>37</v>
      </c>
      <c r="F424" t="s">
        <v>37</v>
      </c>
      <c r="G424" t="s">
        <v>37</v>
      </c>
      <c r="H424">
        <v>1</v>
      </c>
      <c r="J424" t="s">
        <v>62</v>
      </c>
      <c r="M424">
        <v>163</v>
      </c>
      <c r="P424" t="s">
        <v>63</v>
      </c>
      <c r="R424" t="s">
        <v>48</v>
      </c>
      <c r="S424">
        <v>25</v>
      </c>
      <c r="T424">
        <v>1</v>
      </c>
      <c r="U424">
        <v>25</v>
      </c>
      <c r="V424">
        <v>1</v>
      </c>
      <c r="W424">
        <v>0.0</v>
      </c>
      <c r="X424">
        <v>0.0</v>
      </c>
      <c r="Y424">
        <v>0.0</v>
      </c>
      <c r="Z424">
        <v>0.0</v>
      </c>
      <c r="AA424">
        <v>0.0</v>
      </c>
      <c r="AB424">
        <v>0.0</v>
      </c>
      <c r="AC424">
        <v>0.0</v>
      </c>
      <c r="AD424">
        <v>0.0</v>
      </c>
      <c r="AG424" t="str">
        <f>HYPERLINK("https://fwc26.smmarta.com/nomenclature/735/images-download", "Download")</f>
        <v>0</v>
      </c>
    </row>
    <row r="425" spans="1:33">
      <c r="A425" t="s">
        <v>1157</v>
      </c>
      <c r="B425" t="s">
        <v>1158</v>
      </c>
      <c r="C425" t="s">
        <v>35</v>
      </c>
      <c r="D425" t="s">
        <v>36</v>
      </c>
      <c r="E425" t="s">
        <v>37</v>
      </c>
      <c r="F425" t="s">
        <v>37</v>
      </c>
      <c r="G425" t="s">
        <v>37</v>
      </c>
      <c r="H425">
        <v>1</v>
      </c>
      <c r="J425" t="s">
        <v>124</v>
      </c>
      <c r="M425">
        <v>110</v>
      </c>
      <c r="W425">
        <v>0.0</v>
      </c>
      <c r="X425">
        <v>0.0</v>
      </c>
      <c r="Y425">
        <v>0.0</v>
      </c>
      <c r="Z425">
        <v>0.0</v>
      </c>
      <c r="AA425">
        <v>0.0</v>
      </c>
      <c r="AB425">
        <v>0.0</v>
      </c>
      <c r="AC425">
        <v>0.0</v>
      </c>
      <c r="AD425">
        <v>0.0</v>
      </c>
    </row>
    <row r="426" spans="1:33">
      <c r="A426" t="s">
        <v>1159</v>
      </c>
      <c r="B426" t="s">
        <v>1153</v>
      </c>
      <c r="C426" t="s">
        <v>35</v>
      </c>
      <c r="D426" t="s">
        <v>36</v>
      </c>
      <c r="E426" t="s">
        <v>37</v>
      </c>
      <c r="F426" t="s">
        <v>37</v>
      </c>
      <c r="G426" t="s">
        <v>37</v>
      </c>
      <c r="H426">
        <v>1</v>
      </c>
      <c r="J426" t="s">
        <v>119</v>
      </c>
      <c r="M426">
        <v>80.3</v>
      </c>
      <c r="P426">
        <v>9817</v>
      </c>
      <c r="Q426" t="s">
        <v>1003</v>
      </c>
      <c r="R426" t="s">
        <v>48</v>
      </c>
      <c r="S426">
        <v>25</v>
      </c>
      <c r="T426">
        <v>1</v>
      </c>
      <c r="U426">
        <v>25</v>
      </c>
      <c r="V426">
        <v>1</v>
      </c>
      <c r="W426">
        <v>0.0</v>
      </c>
      <c r="X426">
        <v>0.0</v>
      </c>
      <c r="Y426">
        <v>0.0</v>
      </c>
      <c r="Z426">
        <v>0.0</v>
      </c>
      <c r="AA426">
        <v>0.0</v>
      </c>
      <c r="AB426">
        <v>0.0</v>
      </c>
      <c r="AC426">
        <v>0.0</v>
      </c>
      <c r="AD426">
        <v>0.0</v>
      </c>
    </row>
    <row r="427" spans="1:33">
      <c r="A427" t="s">
        <v>1160</v>
      </c>
      <c r="B427" t="s">
        <v>1161</v>
      </c>
      <c r="C427" t="s">
        <v>35</v>
      </c>
      <c r="D427" t="s">
        <v>36</v>
      </c>
      <c r="E427" t="s">
        <v>37</v>
      </c>
      <c r="F427" t="s">
        <v>37</v>
      </c>
      <c r="G427" t="s">
        <v>37</v>
      </c>
      <c r="H427">
        <v>1</v>
      </c>
      <c r="J427" t="s">
        <v>124</v>
      </c>
      <c r="M427">
        <v>169</v>
      </c>
      <c r="W427">
        <v>0.0</v>
      </c>
      <c r="X427">
        <v>0.0</v>
      </c>
      <c r="Y427">
        <v>0.0</v>
      </c>
      <c r="Z427">
        <v>0.0</v>
      </c>
      <c r="AA427">
        <v>0.0</v>
      </c>
      <c r="AB427">
        <v>0.0</v>
      </c>
      <c r="AC427">
        <v>0.0</v>
      </c>
      <c r="AD427">
        <v>0.0</v>
      </c>
    </row>
    <row r="428" spans="1:33">
      <c r="A428" t="s">
        <v>1162</v>
      </c>
      <c r="B428" t="s">
        <v>1163</v>
      </c>
      <c r="C428" t="s">
        <v>35</v>
      </c>
      <c r="D428" t="s">
        <v>36</v>
      </c>
      <c r="E428" t="s">
        <v>37</v>
      </c>
      <c r="F428" t="s">
        <v>37</v>
      </c>
      <c r="G428" t="s">
        <v>37</v>
      </c>
      <c r="J428" t="s">
        <v>312</v>
      </c>
    </row>
    <row r="429" spans="1:33">
      <c r="A429" t="s">
        <v>1164</v>
      </c>
      <c r="B429" t="s">
        <v>1165</v>
      </c>
      <c r="C429" t="s">
        <v>35</v>
      </c>
      <c r="D429" t="s">
        <v>36</v>
      </c>
      <c r="E429" t="s">
        <v>37</v>
      </c>
      <c r="F429" t="s">
        <v>37</v>
      </c>
      <c r="G429" t="s">
        <v>37</v>
      </c>
      <c r="H429">
        <v>1</v>
      </c>
      <c r="J429" t="s">
        <v>124</v>
      </c>
      <c r="M429">
        <v>146</v>
      </c>
      <c r="W429">
        <v>30.0</v>
      </c>
      <c r="X429">
        <v>72.0</v>
      </c>
      <c r="Y429">
        <v>30.0</v>
      </c>
      <c r="Z429">
        <v>0.0</v>
      </c>
      <c r="AA429">
        <v>0.0</v>
      </c>
      <c r="AB429">
        <v>0.0</v>
      </c>
      <c r="AC429">
        <v>0.0</v>
      </c>
      <c r="AD429">
        <v>0.0</v>
      </c>
    </row>
    <row r="430" spans="1:33">
      <c r="A430" t="s">
        <v>1166</v>
      </c>
      <c r="B430" t="s">
        <v>1167</v>
      </c>
      <c r="C430" t="s">
        <v>35</v>
      </c>
      <c r="D430" t="s">
        <v>36</v>
      </c>
      <c r="E430" t="s">
        <v>37</v>
      </c>
      <c r="F430" t="s">
        <v>37</v>
      </c>
      <c r="G430" t="s">
        <v>37</v>
      </c>
      <c r="H430">
        <v>1</v>
      </c>
      <c r="J430" t="s">
        <v>119</v>
      </c>
      <c r="M430">
        <v>126.5</v>
      </c>
      <c r="P430">
        <v>9817</v>
      </c>
      <c r="Q430" t="s">
        <v>1003</v>
      </c>
      <c r="R430" t="s">
        <v>48</v>
      </c>
      <c r="S430">
        <v>25</v>
      </c>
      <c r="T430">
        <v>1</v>
      </c>
      <c r="U430">
        <v>25</v>
      </c>
      <c r="V430">
        <v>1</v>
      </c>
      <c r="W430">
        <v>0.0</v>
      </c>
      <c r="X430">
        <v>0.0</v>
      </c>
      <c r="Y430">
        <v>0.0</v>
      </c>
      <c r="Z430">
        <v>0.0</v>
      </c>
      <c r="AA430">
        <v>0.0</v>
      </c>
      <c r="AB430">
        <v>0.0</v>
      </c>
      <c r="AC430">
        <v>0.0</v>
      </c>
      <c r="AD430">
        <v>0.0</v>
      </c>
    </row>
    <row r="431" spans="1:33">
      <c r="A431" t="s">
        <v>1168</v>
      </c>
      <c r="B431" t="s">
        <v>1169</v>
      </c>
      <c r="C431" t="s">
        <v>35</v>
      </c>
      <c r="D431" t="s">
        <v>36</v>
      </c>
      <c r="E431" t="s">
        <v>37</v>
      </c>
      <c r="F431" t="s">
        <v>37</v>
      </c>
      <c r="G431" t="s">
        <v>37</v>
      </c>
      <c r="H431">
        <v>1</v>
      </c>
      <c r="J431" t="s">
        <v>124</v>
      </c>
      <c r="M431">
        <v>225</v>
      </c>
      <c r="W431">
        <v>0.0</v>
      </c>
      <c r="X431">
        <v>0.0</v>
      </c>
      <c r="Y431">
        <v>0.0</v>
      </c>
      <c r="Z431">
        <v>0.0</v>
      </c>
      <c r="AA431">
        <v>0.0</v>
      </c>
      <c r="AB431">
        <v>0.0</v>
      </c>
      <c r="AC431">
        <v>0.0</v>
      </c>
      <c r="AD431">
        <v>0.0</v>
      </c>
    </row>
    <row r="432" spans="1:33">
      <c r="A432" t="s">
        <v>1170</v>
      </c>
      <c r="B432" t="s">
        <v>1171</v>
      </c>
      <c r="C432" t="s">
        <v>35</v>
      </c>
      <c r="D432" t="s">
        <v>36</v>
      </c>
      <c r="E432" t="s">
        <v>37</v>
      </c>
      <c r="F432" t="s">
        <v>37</v>
      </c>
      <c r="G432" t="s">
        <v>37</v>
      </c>
      <c r="H432">
        <v>1</v>
      </c>
      <c r="I432">
        <v>91</v>
      </c>
      <c r="J432" t="s">
        <v>38</v>
      </c>
      <c r="M432">
        <v>269</v>
      </c>
      <c r="N432" t="s">
        <v>39</v>
      </c>
      <c r="W432">
        <v>30.0</v>
      </c>
      <c r="X432">
        <v>30.0</v>
      </c>
      <c r="Y432">
        <v>29.0</v>
      </c>
      <c r="Z432">
        <v>0.0</v>
      </c>
      <c r="AA432">
        <v>0.0</v>
      </c>
      <c r="AB432">
        <v>0.0</v>
      </c>
      <c r="AC432">
        <v>0.0</v>
      </c>
      <c r="AD432">
        <v>0.0</v>
      </c>
    </row>
    <row r="433" spans="1:33">
      <c r="A433" t="s">
        <v>1172</v>
      </c>
      <c r="B433" t="s">
        <v>1173</v>
      </c>
      <c r="C433" t="s">
        <v>35</v>
      </c>
      <c r="D433" t="s">
        <v>36</v>
      </c>
      <c r="E433" t="s">
        <v>37</v>
      </c>
      <c r="F433" t="s">
        <v>37</v>
      </c>
      <c r="G433" t="s">
        <v>37</v>
      </c>
      <c r="H433">
        <v>1</v>
      </c>
      <c r="J433" t="s">
        <v>119</v>
      </c>
      <c r="M433">
        <v>418</v>
      </c>
      <c r="P433" t="s">
        <v>46</v>
      </c>
      <c r="Q433" t="s">
        <v>1003</v>
      </c>
      <c r="R433" t="s">
        <v>144</v>
      </c>
      <c r="S433">
        <v>4</v>
      </c>
      <c r="T433">
        <v>1</v>
      </c>
      <c r="U433">
        <v>4</v>
      </c>
      <c r="V433">
        <v>1</v>
      </c>
      <c r="W433">
        <v>0.0</v>
      </c>
      <c r="X433">
        <v>0.0</v>
      </c>
      <c r="Y433">
        <v>0.0</v>
      </c>
      <c r="Z433">
        <v>0.0</v>
      </c>
      <c r="AA433">
        <v>0.0</v>
      </c>
      <c r="AB433">
        <v>0.0</v>
      </c>
      <c r="AC433">
        <v>0.0</v>
      </c>
      <c r="AD433">
        <v>0.0</v>
      </c>
      <c r="AE433" t="s">
        <v>121</v>
      </c>
    </row>
    <row r="434" spans="1:33">
      <c r="A434" t="s">
        <v>1174</v>
      </c>
      <c r="B434" t="s">
        <v>1175</v>
      </c>
      <c r="C434" t="s">
        <v>35</v>
      </c>
      <c r="D434" t="s">
        <v>36</v>
      </c>
      <c r="E434" t="s">
        <v>37</v>
      </c>
      <c r="F434" t="s">
        <v>37</v>
      </c>
      <c r="G434" t="s">
        <v>37</v>
      </c>
      <c r="H434">
        <v>1</v>
      </c>
      <c r="I434">
        <v>56</v>
      </c>
      <c r="J434" t="s">
        <v>38</v>
      </c>
      <c r="M434">
        <v>218</v>
      </c>
      <c r="N434" t="s">
        <v>39</v>
      </c>
      <c r="W434">
        <v>30.0</v>
      </c>
      <c r="X434">
        <v>30.0</v>
      </c>
      <c r="Y434">
        <v>42.0</v>
      </c>
      <c r="Z434">
        <v>0.0</v>
      </c>
      <c r="AA434">
        <v>0.0</v>
      </c>
      <c r="AB434">
        <v>0.0</v>
      </c>
      <c r="AC434">
        <v>0.0</v>
      </c>
      <c r="AD434">
        <v>0.0</v>
      </c>
    </row>
    <row r="435" spans="1:33">
      <c r="A435" t="s">
        <v>1176</v>
      </c>
      <c r="B435" t="s">
        <v>1177</v>
      </c>
      <c r="C435" t="s">
        <v>35</v>
      </c>
      <c r="D435" t="s">
        <v>36</v>
      </c>
      <c r="E435" t="s">
        <v>37</v>
      </c>
      <c r="F435" t="s">
        <v>37</v>
      </c>
      <c r="G435" t="s">
        <v>37</v>
      </c>
      <c r="H435">
        <v>1</v>
      </c>
      <c r="J435" t="s">
        <v>119</v>
      </c>
      <c r="M435">
        <v>341</v>
      </c>
      <c r="P435" t="s">
        <v>46</v>
      </c>
      <c r="Q435" t="s">
        <v>1003</v>
      </c>
      <c r="R435" t="s">
        <v>144</v>
      </c>
      <c r="S435">
        <v>8</v>
      </c>
      <c r="T435">
        <v>1</v>
      </c>
      <c r="U435">
        <v>8</v>
      </c>
      <c r="V435">
        <v>1</v>
      </c>
      <c r="W435">
        <v>0.0</v>
      </c>
      <c r="X435">
        <v>0.0</v>
      </c>
      <c r="Y435">
        <v>0.0</v>
      </c>
      <c r="Z435">
        <v>0.0</v>
      </c>
      <c r="AA435">
        <v>0.0</v>
      </c>
      <c r="AB435">
        <v>0.0</v>
      </c>
      <c r="AC435">
        <v>0.0</v>
      </c>
      <c r="AD435">
        <v>0.0</v>
      </c>
      <c r="AE435" t="s">
        <v>121</v>
      </c>
    </row>
    <row r="436" spans="1:33">
      <c r="A436" t="s">
        <v>1178</v>
      </c>
      <c r="B436" t="s">
        <v>1179</v>
      </c>
      <c r="C436" t="s">
        <v>35</v>
      </c>
      <c r="D436" t="s">
        <v>36</v>
      </c>
      <c r="E436" t="s">
        <v>37</v>
      </c>
      <c r="F436" t="s">
        <v>37</v>
      </c>
      <c r="G436" t="s">
        <v>37</v>
      </c>
      <c r="H436">
        <v>1</v>
      </c>
      <c r="I436">
        <v>32</v>
      </c>
      <c r="J436" t="s">
        <v>38</v>
      </c>
      <c r="M436">
        <v>433</v>
      </c>
      <c r="N436" t="s">
        <v>39</v>
      </c>
      <c r="W436">
        <v>26.25</v>
      </c>
      <c r="X436">
        <v>72.25</v>
      </c>
      <c r="Y436">
        <v>42.0</v>
      </c>
      <c r="Z436">
        <v>0.0</v>
      </c>
      <c r="AA436">
        <v>0.0</v>
      </c>
      <c r="AB436">
        <v>0.0</v>
      </c>
      <c r="AC436">
        <v>0.0</v>
      </c>
      <c r="AD436">
        <v>0.0</v>
      </c>
    </row>
    <row r="437" spans="1:33">
      <c r="A437" t="s">
        <v>1180</v>
      </c>
      <c r="B437" t="s">
        <v>1181</v>
      </c>
      <c r="C437" t="s">
        <v>35</v>
      </c>
      <c r="D437" t="s">
        <v>36</v>
      </c>
      <c r="E437" t="s">
        <v>37</v>
      </c>
      <c r="F437" t="s">
        <v>37</v>
      </c>
      <c r="G437" t="s">
        <v>37</v>
      </c>
      <c r="H437">
        <v>1</v>
      </c>
      <c r="J437" t="s">
        <v>119</v>
      </c>
      <c r="M437">
        <v>715</v>
      </c>
      <c r="P437" t="s">
        <v>46</v>
      </c>
      <c r="Q437" t="s">
        <v>1003</v>
      </c>
      <c r="R437" t="s">
        <v>144</v>
      </c>
      <c r="S437">
        <v>2</v>
      </c>
      <c r="T437">
        <v>2</v>
      </c>
      <c r="U437">
        <v>2</v>
      </c>
      <c r="V437">
        <v>2</v>
      </c>
      <c r="W437">
        <v>0.0</v>
      </c>
      <c r="X437">
        <v>0.0</v>
      </c>
      <c r="Y437">
        <v>0.0</v>
      </c>
      <c r="Z437">
        <v>0.0</v>
      </c>
      <c r="AA437">
        <v>0.0</v>
      </c>
      <c r="AB437">
        <v>0.0</v>
      </c>
      <c r="AC437">
        <v>0.0</v>
      </c>
      <c r="AD437">
        <v>0.0</v>
      </c>
      <c r="AE437" t="s">
        <v>121</v>
      </c>
    </row>
    <row r="438" spans="1:33">
      <c r="A438" t="s">
        <v>1182</v>
      </c>
      <c r="B438" t="s">
        <v>1183</v>
      </c>
      <c r="C438" t="s">
        <v>35</v>
      </c>
      <c r="D438" t="s">
        <v>36</v>
      </c>
      <c r="E438" t="s">
        <v>37</v>
      </c>
      <c r="F438" t="s">
        <v>37</v>
      </c>
      <c r="G438" t="s">
        <v>37</v>
      </c>
      <c r="H438">
        <v>1</v>
      </c>
      <c r="I438">
        <v>80</v>
      </c>
      <c r="J438" t="s">
        <v>38</v>
      </c>
      <c r="M438">
        <v>115</v>
      </c>
      <c r="N438" t="s">
        <v>39</v>
      </c>
      <c r="W438">
        <v>0.0</v>
      </c>
      <c r="X438">
        <v>0.0</v>
      </c>
      <c r="Y438">
        <v>0.0</v>
      </c>
      <c r="Z438">
        <v>0.0</v>
      </c>
      <c r="AA438">
        <v>0.0</v>
      </c>
      <c r="AB438">
        <v>0.0</v>
      </c>
      <c r="AC438">
        <v>0.0</v>
      </c>
      <c r="AD438">
        <v>0.0</v>
      </c>
    </row>
    <row r="439" spans="1:33">
      <c r="A439" t="s">
        <v>1184</v>
      </c>
      <c r="B439" t="s">
        <v>1185</v>
      </c>
      <c r="C439" t="s">
        <v>35</v>
      </c>
      <c r="D439" t="s">
        <v>36</v>
      </c>
      <c r="E439" t="s">
        <v>37</v>
      </c>
      <c r="F439" t="s">
        <v>37</v>
      </c>
      <c r="G439" t="s">
        <v>37</v>
      </c>
      <c r="H439">
        <v>1</v>
      </c>
      <c r="I439">
        <v>96</v>
      </c>
      <c r="J439" t="s">
        <v>38</v>
      </c>
      <c r="M439">
        <v>115</v>
      </c>
      <c r="N439" t="s">
        <v>39</v>
      </c>
      <c r="W439">
        <v>0.0</v>
      </c>
      <c r="X439">
        <v>0.0</v>
      </c>
      <c r="Y439">
        <v>0.0</v>
      </c>
      <c r="Z439">
        <v>0.0</v>
      </c>
      <c r="AA439">
        <v>0.0</v>
      </c>
      <c r="AB439">
        <v>0.0</v>
      </c>
      <c r="AC439">
        <v>0.0</v>
      </c>
      <c r="AD439">
        <v>0.0</v>
      </c>
    </row>
    <row r="440" spans="1:33">
      <c r="A440" t="s">
        <v>1186</v>
      </c>
      <c r="B440" t="s">
        <v>1187</v>
      </c>
      <c r="C440" t="s">
        <v>35</v>
      </c>
      <c r="D440" t="s">
        <v>36</v>
      </c>
      <c r="E440" t="s">
        <v>37</v>
      </c>
      <c r="F440" t="s">
        <v>37</v>
      </c>
      <c r="G440" t="s">
        <v>37</v>
      </c>
      <c r="J440" t="s">
        <v>119</v>
      </c>
      <c r="M440">
        <v>165</v>
      </c>
      <c r="P440" t="s">
        <v>46</v>
      </c>
      <c r="Q440" t="s">
        <v>1188</v>
      </c>
      <c r="R440" t="s">
        <v>48</v>
      </c>
      <c r="S440">
        <v>12</v>
      </c>
      <c r="T440">
        <v>1</v>
      </c>
      <c r="U440">
        <v>12</v>
      </c>
      <c r="V440">
        <v>1</v>
      </c>
      <c r="W440">
        <v>0.0</v>
      </c>
      <c r="X440">
        <v>0.0</v>
      </c>
      <c r="Y440">
        <v>0.0</v>
      </c>
      <c r="Z440">
        <v>0.0</v>
      </c>
      <c r="AA440">
        <v>0.0</v>
      </c>
      <c r="AB440">
        <v>0.0</v>
      </c>
      <c r="AC440">
        <v>0.0</v>
      </c>
      <c r="AD440">
        <v>0.0</v>
      </c>
    </row>
    <row r="441" spans="1:33">
      <c r="A441" t="s">
        <v>1189</v>
      </c>
      <c r="B441" t="s">
        <v>1190</v>
      </c>
      <c r="C441" t="s">
        <v>35</v>
      </c>
      <c r="D441" t="s">
        <v>36</v>
      </c>
      <c r="E441" t="s">
        <v>37</v>
      </c>
      <c r="F441" t="s">
        <v>37</v>
      </c>
      <c r="G441" t="s">
        <v>37</v>
      </c>
      <c r="J441" t="s">
        <v>43</v>
      </c>
      <c r="K441">
        <v>204720808</v>
      </c>
      <c r="L441" t="s">
        <v>1191</v>
      </c>
      <c r="M441">
        <v>189.98</v>
      </c>
      <c r="O441" t="s">
        <v>1192</v>
      </c>
      <c r="P441" t="s">
        <v>46</v>
      </c>
      <c r="Q441">
        <v>9403.7</v>
      </c>
      <c r="R441" t="s">
        <v>48</v>
      </c>
      <c r="W441">
        <v>0.0</v>
      </c>
      <c r="X441">
        <v>0.0</v>
      </c>
      <c r="Y441">
        <v>0.0</v>
      </c>
      <c r="Z441">
        <v>0.0</v>
      </c>
      <c r="AA441">
        <v>0.0</v>
      </c>
      <c r="AB441">
        <v>0.0</v>
      </c>
      <c r="AC441">
        <v>0.0</v>
      </c>
      <c r="AD441">
        <v>0.0</v>
      </c>
      <c r="AG441" t="str">
        <f>HYPERLINK("https://fwc26.smmarta.com/nomenclature/1253/images-download", "Download")</f>
        <v>0</v>
      </c>
    </row>
    <row r="442" spans="1:33">
      <c r="A442" t="s">
        <v>1193</v>
      </c>
      <c r="B442" t="s">
        <v>1194</v>
      </c>
      <c r="C442" t="s">
        <v>35</v>
      </c>
      <c r="D442" t="s">
        <v>36</v>
      </c>
      <c r="E442" t="s">
        <v>37</v>
      </c>
      <c r="F442" t="s">
        <v>37</v>
      </c>
      <c r="G442" t="s">
        <v>37</v>
      </c>
      <c r="H442">
        <v>1</v>
      </c>
      <c r="J442" t="s">
        <v>62</v>
      </c>
      <c r="M442">
        <v>273</v>
      </c>
      <c r="P442" t="s">
        <v>63</v>
      </c>
      <c r="R442" t="s">
        <v>48</v>
      </c>
      <c r="S442">
        <v>25</v>
      </c>
      <c r="T442">
        <v>1</v>
      </c>
      <c r="U442">
        <v>25</v>
      </c>
      <c r="V442">
        <v>1</v>
      </c>
      <c r="W442">
        <v>0.0</v>
      </c>
      <c r="X442">
        <v>0.0</v>
      </c>
      <c r="Y442">
        <v>0.0</v>
      </c>
      <c r="Z442">
        <v>0.0</v>
      </c>
      <c r="AA442">
        <v>0.0</v>
      </c>
      <c r="AB442">
        <v>0.0</v>
      </c>
      <c r="AC442">
        <v>0.0</v>
      </c>
      <c r="AD442">
        <v>0.0</v>
      </c>
      <c r="AG442" t="str">
        <f>HYPERLINK("https://fwc26.smmarta.com/nomenclature/736/images-download", "Download")</f>
        <v>0</v>
      </c>
    </row>
    <row r="443" spans="1:33">
      <c r="A443" t="s">
        <v>1195</v>
      </c>
      <c r="B443" t="s">
        <v>1196</v>
      </c>
      <c r="C443" t="s">
        <v>35</v>
      </c>
      <c r="D443" t="s">
        <v>36</v>
      </c>
      <c r="E443" t="s">
        <v>37</v>
      </c>
      <c r="F443" t="s">
        <v>37</v>
      </c>
      <c r="G443" t="s">
        <v>37</v>
      </c>
      <c r="H443">
        <v>1</v>
      </c>
      <c r="J443" t="s">
        <v>62</v>
      </c>
      <c r="M443">
        <v>273</v>
      </c>
      <c r="R443" t="s">
        <v>48</v>
      </c>
      <c r="S443">
        <v>22</v>
      </c>
      <c r="T443">
        <v>1</v>
      </c>
      <c r="U443">
        <v>22</v>
      </c>
      <c r="V443">
        <v>1</v>
      </c>
      <c r="W443">
        <v>0.0</v>
      </c>
      <c r="X443">
        <v>0.0</v>
      </c>
      <c r="Y443">
        <v>0.0</v>
      </c>
      <c r="Z443">
        <v>0.0</v>
      </c>
      <c r="AA443">
        <v>0.0</v>
      </c>
      <c r="AB443">
        <v>0.0</v>
      </c>
      <c r="AC443">
        <v>0.0</v>
      </c>
      <c r="AD443">
        <v>0.0</v>
      </c>
    </row>
    <row r="444" spans="1:33">
      <c r="A444" t="s">
        <v>1197</v>
      </c>
      <c r="B444" t="s">
        <v>1198</v>
      </c>
      <c r="C444" t="s">
        <v>35</v>
      </c>
      <c r="D444" t="s">
        <v>36</v>
      </c>
      <c r="E444" t="s">
        <v>37</v>
      </c>
      <c r="F444" t="s">
        <v>37</v>
      </c>
      <c r="G444" t="s">
        <v>37</v>
      </c>
      <c r="J444" t="s">
        <v>62</v>
      </c>
      <c r="M444">
        <v>490</v>
      </c>
      <c r="Q444" t="s">
        <v>1199</v>
      </c>
      <c r="R444" t="s">
        <v>48</v>
      </c>
      <c r="W444">
        <v>0.0</v>
      </c>
      <c r="X444">
        <v>0.0</v>
      </c>
      <c r="Y444">
        <v>0.0</v>
      </c>
      <c r="Z444">
        <v>0.0</v>
      </c>
      <c r="AA444">
        <v>0.0</v>
      </c>
      <c r="AB444">
        <v>0.0</v>
      </c>
      <c r="AC444">
        <v>0.0</v>
      </c>
      <c r="AD444">
        <v>0.0</v>
      </c>
    </row>
    <row r="445" spans="1:33">
      <c r="A445" t="s">
        <v>1200</v>
      </c>
      <c r="B445" t="s">
        <v>1201</v>
      </c>
      <c r="C445" t="s">
        <v>35</v>
      </c>
      <c r="D445" t="s">
        <v>36</v>
      </c>
      <c r="E445" t="s">
        <v>37</v>
      </c>
      <c r="F445" t="s">
        <v>37</v>
      </c>
      <c r="G445" t="s">
        <v>37</v>
      </c>
      <c r="J445" t="s">
        <v>43</v>
      </c>
      <c r="K445">
        <v>307667286</v>
      </c>
      <c r="L445" t="s">
        <v>1202</v>
      </c>
      <c r="M445">
        <v>54.94</v>
      </c>
      <c r="O445" t="s">
        <v>1203</v>
      </c>
      <c r="P445" t="s">
        <v>46</v>
      </c>
      <c r="Q445">
        <v>6601.1</v>
      </c>
      <c r="R445" t="s">
        <v>48</v>
      </c>
      <c r="S445">
        <v>25</v>
      </c>
      <c r="T445">
        <v>1</v>
      </c>
      <c r="U445">
        <v>25</v>
      </c>
      <c r="V445">
        <v>1</v>
      </c>
      <c r="W445">
        <v>0.0</v>
      </c>
      <c r="X445">
        <v>0.0</v>
      </c>
      <c r="Y445">
        <v>0.0</v>
      </c>
      <c r="Z445">
        <v>0.0</v>
      </c>
      <c r="AA445">
        <v>0.0</v>
      </c>
      <c r="AB445">
        <v>0.0</v>
      </c>
      <c r="AC445">
        <v>0.0</v>
      </c>
      <c r="AD445">
        <v>0.0</v>
      </c>
      <c r="AG445" t="str">
        <f>HYPERLINK("https://fwc26.smmarta.com/nomenclature/768/images-download", "Download")</f>
        <v>0</v>
      </c>
    </row>
    <row r="446" spans="1:33">
      <c r="A446" t="s">
        <v>1204</v>
      </c>
      <c r="B446" t="s">
        <v>1205</v>
      </c>
      <c r="C446" t="s">
        <v>35</v>
      </c>
      <c r="D446" t="s">
        <v>36</v>
      </c>
      <c r="E446" t="s">
        <v>37</v>
      </c>
      <c r="F446" t="s">
        <v>37</v>
      </c>
      <c r="G446" t="s">
        <v>37</v>
      </c>
      <c r="H446">
        <v>1</v>
      </c>
      <c r="J446" t="s">
        <v>124</v>
      </c>
      <c r="M446">
        <v>215</v>
      </c>
      <c r="W446">
        <v>0.0</v>
      </c>
      <c r="X446">
        <v>0.0</v>
      </c>
      <c r="Y446">
        <v>108.0</v>
      </c>
      <c r="Z446">
        <v>0.0</v>
      </c>
      <c r="AA446">
        <v>0.0</v>
      </c>
      <c r="AB446">
        <v>0.0</v>
      </c>
      <c r="AC446">
        <v>0.0</v>
      </c>
      <c r="AD446">
        <v>0.0</v>
      </c>
    </row>
    <row r="447" spans="1:33">
      <c r="A447" t="s">
        <v>1206</v>
      </c>
      <c r="B447" t="s">
        <v>1194</v>
      </c>
      <c r="C447" t="s">
        <v>35</v>
      </c>
      <c r="D447" t="s">
        <v>36</v>
      </c>
      <c r="E447" t="s">
        <v>37</v>
      </c>
      <c r="F447" t="s">
        <v>37</v>
      </c>
      <c r="G447" t="s">
        <v>37</v>
      </c>
      <c r="H447">
        <v>1</v>
      </c>
      <c r="J447" t="s">
        <v>119</v>
      </c>
      <c r="M447">
        <v>451</v>
      </c>
      <c r="P447" t="s">
        <v>46</v>
      </c>
      <c r="Q447" t="s">
        <v>1199</v>
      </c>
      <c r="R447" t="s">
        <v>48</v>
      </c>
      <c r="S447">
        <v>25</v>
      </c>
      <c r="T447">
        <v>1</v>
      </c>
      <c r="U447">
        <v>25</v>
      </c>
      <c r="V447">
        <v>1</v>
      </c>
      <c r="W447">
        <v>0.0</v>
      </c>
      <c r="X447">
        <v>0.0</v>
      </c>
      <c r="Y447">
        <v>0.0</v>
      </c>
      <c r="Z447">
        <v>0.0</v>
      </c>
      <c r="AA447">
        <v>0.0</v>
      </c>
      <c r="AB447">
        <v>0.0</v>
      </c>
      <c r="AC447">
        <v>0.0</v>
      </c>
      <c r="AD447">
        <v>0.0</v>
      </c>
    </row>
    <row r="448" spans="1:33">
      <c r="A448" t="s">
        <v>1207</v>
      </c>
      <c r="B448" t="s">
        <v>1208</v>
      </c>
      <c r="C448" t="s">
        <v>35</v>
      </c>
      <c r="D448" t="s">
        <v>36</v>
      </c>
      <c r="E448" t="s">
        <v>37</v>
      </c>
      <c r="F448" t="s">
        <v>37</v>
      </c>
      <c r="G448" t="s">
        <v>37</v>
      </c>
      <c r="H448">
        <v>1</v>
      </c>
      <c r="J448" t="s">
        <v>62</v>
      </c>
      <c r="M448">
        <v>217</v>
      </c>
      <c r="P448" t="s">
        <v>63</v>
      </c>
      <c r="R448" t="s">
        <v>48</v>
      </c>
      <c r="S448">
        <v>25</v>
      </c>
      <c r="T448">
        <v>1</v>
      </c>
      <c r="U448">
        <v>25</v>
      </c>
      <c r="V448">
        <v>1</v>
      </c>
      <c r="W448">
        <v>0.0</v>
      </c>
      <c r="X448">
        <v>0.0</v>
      </c>
      <c r="Y448">
        <v>0.0</v>
      </c>
      <c r="Z448">
        <v>0.0</v>
      </c>
      <c r="AA448">
        <v>0.0</v>
      </c>
      <c r="AB448">
        <v>0.0</v>
      </c>
      <c r="AC448">
        <v>0.0</v>
      </c>
      <c r="AD448">
        <v>0.0</v>
      </c>
      <c r="AG448" t="str">
        <f>HYPERLINK("https://fwc26.smmarta.com/nomenclature/643/images-download", "Download")</f>
        <v>0</v>
      </c>
    </row>
    <row r="449" spans="1:33">
      <c r="A449" t="s">
        <v>1209</v>
      </c>
      <c r="B449" t="s">
        <v>1210</v>
      </c>
      <c r="C449" t="s">
        <v>35</v>
      </c>
      <c r="D449" t="s">
        <v>36</v>
      </c>
      <c r="E449" t="s">
        <v>37</v>
      </c>
      <c r="F449" t="s">
        <v>37</v>
      </c>
      <c r="G449" t="s">
        <v>37</v>
      </c>
      <c r="J449" t="s">
        <v>62</v>
      </c>
      <c r="M449">
        <v>217</v>
      </c>
      <c r="R449" t="s">
        <v>48</v>
      </c>
      <c r="W449">
        <v>0.0</v>
      </c>
      <c r="X449">
        <v>0.0</v>
      </c>
      <c r="Y449">
        <v>0.0</v>
      </c>
      <c r="Z449">
        <v>0.0</v>
      </c>
      <c r="AA449">
        <v>0.0</v>
      </c>
      <c r="AB449">
        <v>0.0</v>
      </c>
      <c r="AC449">
        <v>0.0</v>
      </c>
      <c r="AD449">
        <v>0.0</v>
      </c>
    </row>
    <row r="450" spans="1:33">
      <c r="A450" t="s">
        <v>1211</v>
      </c>
      <c r="B450" t="s">
        <v>1212</v>
      </c>
      <c r="C450" t="s">
        <v>35</v>
      </c>
      <c r="D450" t="s">
        <v>36</v>
      </c>
      <c r="E450" t="s">
        <v>37</v>
      </c>
      <c r="F450" t="s">
        <v>37</v>
      </c>
      <c r="G450" t="s">
        <v>37</v>
      </c>
      <c r="J450" t="s">
        <v>43</v>
      </c>
      <c r="K450">
        <v>316227249</v>
      </c>
      <c r="L450" t="s">
        <v>1213</v>
      </c>
      <c r="M450">
        <v>102.1</v>
      </c>
      <c r="O450" t="s">
        <v>1214</v>
      </c>
      <c r="P450" t="s">
        <v>46</v>
      </c>
      <c r="Q450">
        <v>6603.9</v>
      </c>
      <c r="R450" t="s">
        <v>144</v>
      </c>
      <c r="S450">
        <v>25</v>
      </c>
      <c r="T450">
        <v>1</v>
      </c>
      <c r="U450">
        <v>25</v>
      </c>
      <c r="V450">
        <v>1</v>
      </c>
      <c r="W450">
        <v>0.0</v>
      </c>
      <c r="X450">
        <v>0.0</v>
      </c>
      <c r="Y450">
        <v>0.0</v>
      </c>
      <c r="Z450">
        <v>0.0</v>
      </c>
      <c r="AA450">
        <v>0.0</v>
      </c>
      <c r="AB450">
        <v>0.0</v>
      </c>
      <c r="AC450">
        <v>0.0</v>
      </c>
      <c r="AD450">
        <v>0.0</v>
      </c>
      <c r="AE450" t="s">
        <v>121</v>
      </c>
      <c r="AG450" t="str">
        <f>HYPERLINK("https://fwc26.smmarta.com/nomenclature/764/images-download", "Download")</f>
        <v>0</v>
      </c>
    </row>
    <row r="451" spans="1:33">
      <c r="A451" t="s">
        <v>1215</v>
      </c>
      <c r="B451" t="s">
        <v>1216</v>
      </c>
      <c r="C451" t="s">
        <v>35</v>
      </c>
      <c r="D451" t="s">
        <v>36</v>
      </c>
      <c r="E451" t="s">
        <v>37</v>
      </c>
      <c r="F451" t="s">
        <v>37</v>
      </c>
      <c r="G451" t="s">
        <v>37</v>
      </c>
      <c r="H451">
        <v>1</v>
      </c>
      <c r="J451" t="s">
        <v>124</v>
      </c>
      <c r="M451">
        <v>200</v>
      </c>
      <c r="W451">
        <v>0.0</v>
      </c>
      <c r="X451">
        <v>0.0</v>
      </c>
      <c r="Y451">
        <v>0.0</v>
      </c>
      <c r="Z451">
        <v>0.0</v>
      </c>
      <c r="AA451">
        <v>0.0</v>
      </c>
      <c r="AB451">
        <v>0.0</v>
      </c>
      <c r="AC451">
        <v>0.0</v>
      </c>
      <c r="AD451">
        <v>0.0</v>
      </c>
    </row>
    <row r="452" spans="1:33">
      <c r="A452" t="s">
        <v>1217</v>
      </c>
      <c r="B452" t="s">
        <v>1208</v>
      </c>
      <c r="C452" t="s">
        <v>35</v>
      </c>
      <c r="D452" t="s">
        <v>36</v>
      </c>
      <c r="E452" t="s">
        <v>37</v>
      </c>
      <c r="F452" t="s">
        <v>37</v>
      </c>
      <c r="G452" t="s">
        <v>37</v>
      </c>
      <c r="H452">
        <v>1</v>
      </c>
      <c r="J452" t="s">
        <v>119</v>
      </c>
      <c r="M452">
        <v>165</v>
      </c>
      <c r="P452" t="s">
        <v>46</v>
      </c>
      <c r="Q452" t="s">
        <v>1218</v>
      </c>
      <c r="R452" t="s">
        <v>48</v>
      </c>
      <c r="S452">
        <v>25</v>
      </c>
      <c r="T452">
        <v>1</v>
      </c>
      <c r="U452">
        <v>25</v>
      </c>
      <c r="V452">
        <v>1</v>
      </c>
      <c r="W452">
        <v>0.0</v>
      </c>
      <c r="X452">
        <v>0.0</v>
      </c>
      <c r="Y452">
        <v>0.0</v>
      </c>
      <c r="Z452">
        <v>0.0</v>
      </c>
      <c r="AA452">
        <v>0.0</v>
      </c>
      <c r="AB452">
        <v>0.0</v>
      </c>
      <c r="AC452">
        <v>0.0</v>
      </c>
      <c r="AD452">
        <v>0.0</v>
      </c>
      <c r="AE452" t="s">
        <v>121</v>
      </c>
    </row>
    <row r="453" spans="1:33">
      <c r="A453" t="s">
        <v>1219</v>
      </c>
      <c r="B453" t="s">
        <v>1220</v>
      </c>
      <c r="C453" t="s">
        <v>35</v>
      </c>
      <c r="D453" t="s">
        <v>36</v>
      </c>
      <c r="E453" t="s">
        <v>37</v>
      </c>
      <c r="F453" t="s">
        <v>37</v>
      </c>
      <c r="G453" t="s">
        <v>113</v>
      </c>
      <c r="J453" t="s">
        <v>62</v>
      </c>
      <c r="Q453" t="s">
        <v>1218</v>
      </c>
      <c r="R453" t="s">
        <v>48</v>
      </c>
      <c r="W453">
        <v>0.0</v>
      </c>
      <c r="X453">
        <v>0.0</v>
      </c>
      <c r="Y453">
        <v>0.0</v>
      </c>
      <c r="Z453">
        <v>0.0</v>
      </c>
      <c r="AA453">
        <v>0.0</v>
      </c>
      <c r="AB453">
        <v>0.0</v>
      </c>
      <c r="AC453">
        <v>0.0</v>
      </c>
      <c r="AD453">
        <v>0.0</v>
      </c>
    </row>
    <row r="454" spans="1:33">
      <c r="A454" t="s">
        <v>1221</v>
      </c>
      <c r="B454" t="s">
        <v>1222</v>
      </c>
      <c r="C454" t="s">
        <v>35</v>
      </c>
      <c r="D454" t="s">
        <v>36</v>
      </c>
      <c r="E454" t="s">
        <v>37</v>
      </c>
      <c r="F454" t="s">
        <v>37</v>
      </c>
      <c r="G454" t="s">
        <v>37</v>
      </c>
      <c r="H454">
        <v>1</v>
      </c>
      <c r="J454" t="s">
        <v>62</v>
      </c>
      <c r="M454">
        <v>10</v>
      </c>
      <c r="P454" t="s">
        <v>63</v>
      </c>
      <c r="Q454" t="s">
        <v>1223</v>
      </c>
      <c r="R454" t="s">
        <v>48</v>
      </c>
      <c r="S454">
        <v>45</v>
      </c>
      <c r="T454">
        <v>1</v>
      </c>
      <c r="U454">
        <v>45</v>
      </c>
      <c r="V454">
        <v>1</v>
      </c>
      <c r="W454">
        <v>0.0</v>
      </c>
      <c r="X454">
        <v>0.0</v>
      </c>
      <c r="Y454">
        <v>0.0</v>
      </c>
      <c r="Z454">
        <v>0.0</v>
      </c>
      <c r="AA454">
        <v>0.0</v>
      </c>
      <c r="AB454">
        <v>0.0</v>
      </c>
      <c r="AC454">
        <v>0.0</v>
      </c>
      <c r="AD454">
        <v>0.0</v>
      </c>
    </row>
    <row r="455" spans="1:33">
      <c r="A455" t="s">
        <v>1224</v>
      </c>
      <c r="B455" t="s">
        <v>1225</v>
      </c>
      <c r="C455" t="s">
        <v>35</v>
      </c>
      <c r="D455" t="s">
        <v>36</v>
      </c>
      <c r="E455" t="s">
        <v>37</v>
      </c>
      <c r="F455" t="s">
        <v>37</v>
      </c>
      <c r="G455" t="s">
        <v>37</v>
      </c>
      <c r="H455">
        <v>1</v>
      </c>
      <c r="J455" t="s">
        <v>124</v>
      </c>
      <c r="M455">
        <v>32</v>
      </c>
      <c r="W455">
        <v>0.0</v>
      </c>
      <c r="X455">
        <v>0.0</v>
      </c>
      <c r="Y455">
        <v>0.0</v>
      </c>
      <c r="Z455">
        <v>0.0</v>
      </c>
      <c r="AA455">
        <v>0.0</v>
      </c>
      <c r="AB455">
        <v>0.0</v>
      </c>
      <c r="AC455">
        <v>0.0</v>
      </c>
      <c r="AD455">
        <v>0.0</v>
      </c>
    </row>
    <row r="456" spans="1:33">
      <c r="A456" t="s">
        <v>1226</v>
      </c>
      <c r="B456" t="s">
        <v>1225</v>
      </c>
      <c r="C456" t="s">
        <v>35</v>
      </c>
      <c r="D456" t="s">
        <v>36</v>
      </c>
      <c r="E456" t="s">
        <v>37</v>
      </c>
      <c r="F456" t="s">
        <v>37</v>
      </c>
      <c r="G456" t="s">
        <v>37</v>
      </c>
      <c r="H456">
        <v>1</v>
      </c>
      <c r="J456" t="s">
        <v>119</v>
      </c>
      <c r="M456">
        <v>59.4</v>
      </c>
      <c r="P456" t="s">
        <v>46</v>
      </c>
      <c r="Q456" t="s">
        <v>1223</v>
      </c>
      <c r="R456" t="s">
        <v>144</v>
      </c>
      <c r="S456">
        <v>45</v>
      </c>
      <c r="T456">
        <v>1</v>
      </c>
      <c r="U456">
        <v>45</v>
      </c>
      <c r="V456">
        <v>1</v>
      </c>
      <c r="W456">
        <v>0.0</v>
      </c>
      <c r="X456">
        <v>0.0</v>
      </c>
      <c r="Y456">
        <v>0.0</v>
      </c>
      <c r="Z456">
        <v>0.0</v>
      </c>
      <c r="AA456">
        <v>0.0</v>
      </c>
      <c r="AB456">
        <v>0.0</v>
      </c>
      <c r="AC456">
        <v>0.0</v>
      </c>
      <c r="AD456">
        <v>0.0</v>
      </c>
    </row>
    <row r="457" spans="1:33">
      <c r="A457" t="s">
        <v>1227</v>
      </c>
      <c r="B457" t="s">
        <v>1228</v>
      </c>
      <c r="C457" t="s">
        <v>35</v>
      </c>
      <c r="D457" t="s">
        <v>36</v>
      </c>
      <c r="E457" t="s">
        <v>37</v>
      </c>
      <c r="F457" t="s">
        <v>37</v>
      </c>
      <c r="G457" t="s">
        <v>113</v>
      </c>
      <c r="H457">
        <v>1</v>
      </c>
      <c r="J457" t="s">
        <v>62</v>
      </c>
      <c r="M457">
        <v>210</v>
      </c>
      <c r="P457" t="s">
        <v>63</v>
      </c>
      <c r="Q457">
        <v>950420</v>
      </c>
      <c r="R457" t="s">
        <v>48</v>
      </c>
      <c r="S457">
        <v>1</v>
      </c>
      <c r="T457">
        <v>1</v>
      </c>
      <c r="U457">
        <v>1</v>
      </c>
      <c r="V457">
        <v>1</v>
      </c>
      <c r="W457">
        <v>0.0</v>
      </c>
      <c r="X457">
        <v>0.0</v>
      </c>
      <c r="Y457">
        <v>0.0</v>
      </c>
      <c r="Z457">
        <v>0.0</v>
      </c>
      <c r="AA457">
        <v>0.0</v>
      </c>
      <c r="AB457">
        <v>0.0</v>
      </c>
      <c r="AC457">
        <v>0.0</v>
      </c>
      <c r="AD457">
        <v>0.0</v>
      </c>
      <c r="AG457" t="str">
        <f>HYPERLINK("https://fwc26.smmarta.com/nomenclature/646/images-download", "Download")</f>
        <v>0</v>
      </c>
    </row>
    <row r="458" spans="1:33">
      <c r="A458" t="s">
        <v>1229</v>
      </c>
      <c r="B458" t="s">
        <v>1228</v>
      </c>
      <c r="C458" t="s">
        <v>35</v>
      </c>
      <c r="D458" t="s">
        <v>36</v>
      </c>
      <c r="E458" t="s">
        <v>37</v>
      </c>
      <c r="F458" t="s">
        <v>37</v>
      </c>
      <c r="G458" t="s">
        <v>37</v>
      </c>
      <c r="H458">
        <v>1</v>
      </c>
      <c r="J458" t="s">
        <v>119</v>
      </c>
      <c r="M458">
        <v>528</v>
      </c>
      <c r="P458" t="s">
        <v>46</v>
      </c>
      <c r="Q458" t="s">
        <v>1230</v>
      </c>
      <c r="R458" t="s">
        <v>48</v>
      </c>
      <c r="S458">
        <v>1</v>
      </c>
      <c r="T458">
        <v>1</v>
      </c>
      <c r="U458">
        <v>4</v>
      </c>
      <c r="V458">
        <v>1</v>
      </c>
      <c r="W458">
        <v>0.0</v>
      </c>
      <c r="X458">
        <v>0.0</v>
      </c>
      <c r="Y458">
        <v>0.0</v>
      </c>
      <c r="Z458">
        <v>0.0</v>
      </c>
      <c r="AA458">
        <v>0.0</v>
      </c>
      <c r="AB458">
        <v>0.0</v>
      </c>
      <c r="AC458">
        <v>0.0</v>
      </c>
      <c r="AD458">
        <v>0.0</v>
      </c>
      <c r="AE458" t="s">
        <v>411</v>
      </c>
    </row>
    <row r="459" spans="1:33">
      <c r="A459" t="s">
        <v>1231</v>
      </c>
      <c r="B459" t="s">
        <v>1232</v>
      </c>
      <c r="C459" t="s">
        <v>35</v>
      </c>
      <c r="D459" t="s">
        <v>36</v>
      </c>
      <c r="E459" t="s">
        <v>37</v>
      </c>
      <c r="F459" t="s">
        <v>37</v>
      </c>
      <c r="G459" t="s">
        <v>113</v>
      </c>
      <c r="J459" t="s">
        <v>62</v>
      </c>
      <c r="K459">
        <v>236747</v>
      </c>
      <c r="M459">
        <v>349.99</v>
      </c>
      <c r="P459" t="s">
        <v>87</v>
      </c>
      <c r="R459" t="s">
        <v>48</v>
      </c>
      <c r="W459">
        <v>0.0</v>
      </c>
      <c r="X459">
        <v>0.0</v>
      </c>
      <c r="Y459">
        <v>0.0</v>
      </c>
      <c r="Z459">
        <v>0.0</v>
      </c>
      <c r="AA459">
        <v>0.0</v>
      </c>
      <c r="AB459">
        <v>0.0</v>
      </c>
      <c r="AC459">
        <v>0.0</v>
      </c>
      <c r="AD459">
        <v>0.0</v>
      </c>
    </row>
    <row r="460" spans="1:33">
      <c r="A460" t="s">
        <v>1233</v>
      </c>
      <c r="B460" t="s">
        <v>1234</v>
      </c>
      <c r="C460" t="s">
        <v>35</v>
      </c>
      <c r="D460" t="s">
        <v>36</v>
      </c>
      <c r="E460" t="s">
        <v>37</v>
      </c>
      <c r="F460" t="s">
        <v>37</v>
      </c>
      <c r="G460" t="s">
        <v>37</v>
      </c>
      <c r="J460" t="s">
        <v>478</v>
      </c>
      <c r="K460">
        <v>236747</v>
      </c>
      <c r="M460">
        <v>116.09</v>
      </c>
      <c r="S460">
        <v>8</v>
      </c>
      <c r="T460">
        <v>1</v>
      </c>
      <c r="U460">
        <v>8</v>
      </c>
      <c r="V460">
        <v>1</v>
      </c>
      <c r="W460">
        <v>0.0</v>
      </c>
      <c r="X460">
        <v>0.0</v>
      </c>
      <c r="Y460">
        <v>0.0</v>
      </c>
      <c r="Z460">
        <v>0.0</v>
      </c>
      <c r="AA460">
        <v>0.0</v>
      </c>
      <c r="AB460">
        <v>0.0</v>
      </c>
      <c r="AC460">
        <v>0.0</v>
      </c>
      <c r="AD460">
        <v>0.0</v>
      </c>
      <c r="AE460" t="s">
        <v>121</v>
      </c>
    </row>
    <row r="461" spans="1:33">
      <c r="A461" t="s">
        <v>1235</v>
      </c>
      <c r="B461" t="s">
        <v>1232</v>
      </c>
      <c r="C461" t="s">
        <v>35</v>
      </c>
      <c r="D461" t="s">
        <v>36</v>
      </c>
      <c r="E461" t="s">
        <v>37</v>
      </c>
      <c r="F461" t="s">
        <v>37</v>
      </c>
      <c r="G461" t="s">
        <v>37</v>
      </c>
      <c r="J461" t="s">
        <v>51</v>
      </c>
      <c r="K461">
        <v>24611598</v>
      </c>
      <c r="M461">
        <v>122.29</v>
      </c>
      <c r="W461">
        <v>0.0</v>
      </c>
      <c r="X461">
        <v>0.0</v>
      </c>
      <c r="Y461">
        <v>0.0</v>
      </c>
      <c r="Z461">
        <v>0.0</v>
      </c>
      <c r="AA461">
        <v>0.0</v>
      </c>
      <c r="AB461">
        <v>0.0</v>
      </c>
      <c r="AC461">
        <v>0.0</v>
      </c>
      <c r="AD461">
        <v>0.0</v>
      </c>
      <c r="AE461" t="s">
        <v>121</v>
      </c>
    </row>
    <row r="462" spans="1:33">
      <c r="A462" t="s">
        <v>1236</v>
      </c>
      <c r="B462" t="s">
        <v>1237</v>
      </c>
      <c r="C462" t="s">
        <v>35</v>
      </c>
      <c r="D462" t="s">
        <v>36</v>
      </c>
      <c r="E462" t="s">
        <v>37</v>
      </c>
      <c r="F462" t="s">
        <v>37</v>
      </c>
      <c r="G462" t="s">
        <v>37</v>
      </c>
      <c r="J462" t="s">
        <v>72</v>
      </c>
      <c r="K462" t="s">
        <v>1238</v>
      </c>
      <c r="M462">
        <v>330.02</v>
      </c>
    </row>
    <row r="463" spans="1:33">
      <c r="A463" t="s">
        <v>1239</v>
      </c>
      <c r="B463" t="s">
        <v>1240</v>
      </c>
      <c r="C463" t="s">
        <v>35</v>
      </c>
      <c r="D463" t="s">
        <v>36</v>
      </c>
      <c r="E463" t="s">
        <v>37</v>
      </c>
      <c r="F463" t="s">
        <v>37</v>
      </c>
      <c r="G463" t="s">
        <v>37</v>
      </c>
      <c r="J463" t="s">
        <v>76</v>
      </c>
      <c r="K463">
        <v>8601002</v>
      </c>
      <c r="M463">
        <v>442.07</v>
      </c>
    </row>
    <row r="464" spans="1:33">
      <c r="A464" t="s">
        <v>1241</v>
      </c>
      <c r="B464" t="s">
        <v>1242</v>
      </c>
      <c r="C464" t="s">
        <v>35</v>
      </c>
      <c r="D464" t="s">
        <v>36</v>
      </c>
      <c r="E464" t="s">
        <v>37</v>
      </c>
      <c r="F464" t="s">
        <v>37</v>
      </c>
      <c r="G464" t="s">
        <v>37</v>
      </c>
      <c r="J464" t="s">
        <v>62</v>
      </c>
      <c r="K464">
        <v>24588925</v>
      </c>
      <c r="M464">
        <v>32.28</v>
      </c>
      <c r="P464" t="s">
        <v>87</v>
      </c>
      <c r="R464" t="s">
        <v>48</v>
      </c>
      <c r="W464">
        <v>0.0</v>
      </c>
      <c r="X464">
        <v>0.0</v>
      </c>
      <c r="Y464">
        <v>0.0</v>
      </c>
      <c r="Z464">
        <v>0.0</v>
      </c>
      <c r="AA464">
        <v>0.0</v>
      </c>
      <c r="AB464">
        <v>0.0</v>
      </c>
      <c r="AC464">
        <v>0.0</v>
      </c>
      <c r="AD464">
        <v>0.0</v>
      </c>
    </row>
    <row r="465" spans="1:33">
      <c r="A465" t="s">
        <v>1243</v>
      </c>
      <c r="B465" t="s">
        <v>1244</v>
      </c>
      <c r="C465" t="s">
        <v>35</v>
      </c>
      <c r="D465" t="s">
        <v>36</v>
      </c>
      <c r="E465" t="s">
        <v>37</v>
      </c>
      <c r="F465" t="s">
        <v>37</v>
      </c>
      <c r="G465" t="s">
        <v>37</v>
      </c>
      <c r="J465" t="s">
        <v>478</v>
      </c>
      <c r="K465">
        <v>24588925</v>
      </c>
      <c r="M465">
        <v>32.28</v>
      </c>
      <c r="S465">
        <v>48</v>
      </c>
      <c r="T465">
        <v>1</v>
      </c>
      <c r="U465">
        <v>48</v>
      </c>
      <c r="V465">
        <v>1</v>
      </c>
      <c r="W465">
        <v>0.0</v>
      </c>
      <c r="X465">
        <v>0.0</v>
      </c>
      <c r="Y465">
        <v>0.0</v>
      </c>
      <c r="Z465">
        <v>0.0</v>
      </c>
      <c r="AA465">
        <v>0.0</v>
      </c>
      <c r="AB465">
        <v>0.0</v>
      </c>
      <c r="AC465">
        <v>0.0</v>
      </c>
      <c r="AD465">
        <v>0.0</v>
      </c>
    </row>
    <row r="466" spans="1:33">
      <c r="A466" t="s">
        <v>1245</v>
      </c>
      <c r="B466" t="s">
        <v>1246</v>
      </c>
      <c r="C466" t="s">
        <v>35</v>
      </c>
      <c r="D466" t="s">
        <v>36</v>
      </c>
      <c r="E466" t="s">
        <v>37</v>
      </c>
      <c r="F466" t="s">
        <v>37</v>
      </c>
      <c r="G466" t="s">
        <v>37</v>
      </c>
      <c r="J466" t="s">
        <v>51</v>
      </c>
      <c r="K466">
        <v>24588925</v>
      </c>
      <c r="M466">
        <v>32.28</v>
      </c>
    </row>
    <row r="467" spans="1:33">
      <c r="A467" t="s">
        <v>1247</v>
      </c>
      <c r="B467" t="s">
        <v>1248</v>
      </c>
      <c r="C467" t="s">
        <v>35</v>
      </c>
      <c r="D467" t="s">
        <v>36</v>
      </c>
      <c r="E467" t="s">
        <v>37</v>
      </c>
      <c r="F467" t="s">
        <v>37</v>
      </c>
      <c r="G467" t="s">
        <v>37</v>
      </c>
      <c r="J467" t="s">
        <v>72</v>
      </c>
      <c r="K467" t="s">
        <v>1249</v>
      </c>
      <c r="M467">
        <v>136.89</v>
      </c>
    </row>
    <row r="468" spans="1:33">
      <c r="A468" t="s">
        <v>1250</v>
      </c>
      <c r="B468" t="s">
        <v>1251</v>
      </c>
      <c r="C468" t="s">
        <v>35</v>
      </c>
      <c r="D468" t="s">
        <v>36</v>
      </c>
      <c r="E468" t="s">
        <v>37</v>
      </c>
      <c r="F468" t="s">
        <v>37</v>
      </c>
      <c r="G468" t="s">
        <v>37</v>
      </c>
      <c r="J468" t="s">
        <v>76</v>
      </c>
      <c r="K468">
        <v>10265737</v>
      </c>
      <c r="M468">
        <v>84.56</v>
      </c>
    </row>
    <row r="469" spans="1:33">
      <c r="A469" t="s">
        <v>1252</v>
      </c>
      <c r="B469" t="s">
        <v>1253</v>
      </c>
      <c r="C469" t="s">
        <v>35</v>
      </c>
      <c r="D469" t="s">
        <v>36</v>
      </c>
      <c r="E469" t="s">
        <v>37</v>
      </c>
      <c r="F469" t="s">
        <v>37</v>
      </c>
      <c r="G469" t="s">
        <v>37</v>
      </c>
      <c r="J469" t="s">
        <v>62</v>
      </c>
      <c r="K469">
        <v>24148426</v>
      </c>
      <c r="M469">
        <v>233.99</v>
      </c>
      <c r="P469" t="s">
        <v>87</v>
      </c>
      <c r="R469" t="s">
        <v>180</v>
      </c>
      <c r="W469">
        <v>0.0</v>
      </c>
      <c r="X469">
        <v>0.0</v>
      </c>
      <c r="Y469">
        <v>0.0</v>
      </c>
      <c r="Z469">
        <v>0.0</v>
      </c>
      <c r="AA469">
        <v>0.0</v>
      </c>
      <c r="AB469">
        <v>0.0</v>
      </c>
      <c r="AC469">
        <v>0.0</v>
      </c>
      <c r="AD469">
        <v>0.0</v>
      </c>
    </row>
    <row r="470" spans="1:33">
      <c r="A470" t="s">
        <v>1254</v>
      </c>
      <c r="B470" t="s">
        <v>1255</v>
      </c>
      <c r="C470" t="s">
        <v>35</v>
      </c>
      <c r="D470" t="s">
        <v>36</v>
      </c>
      <c r="E470" t="s">
        <v>37</v>
      </c>
      <c r="F470" t="s">
        <v>37</v>
      </c>
      <c r="G470" t="s">
        <v>37</v>
      </c>
      <c r="J470" t="s">
        <v>478</v>
      </c>
      <c r="K470">
        <v>24148433</v>
      </c>
      <c r="M470">
        <v>269</v>
      </c>
      <c r="S470">
        <v>48</v>
      </c>
      <c r="T470">
        <v>1</v>
      </c>
      <c r="U470">
        <v>48</v>
      </c>
      <c r="V470">
        <v>1</v>
      </c>
      <c r="W470">
        <v>0.0</v>
      </c>
      <c r="X470">
        <v>0.0</v>
      </c>
      <c r="Y470">
        <v>0.0</v>
      </c>
      <c r="Z470">
        <v>0.0</v>
      </c>
      <c r="AA470">
        <v>0.0</v>
      </c>
      <c r="AB470">
        <v>0.0</v>
      </c>
      <c r="AC470">
        <v>0.0</v>
      </c>
      <c r="AD470">
        <v>0.0</v>
      </c>
    </row>
    <row r="471" spans="1:33">
      <c r="A471" t="s">
        <v>1256</v>
      </c>
      <c r="B471" t="s">
        <v>1257</v>
      </c>
      <c r="C471" t="s">
        <v>35</v>
      </c>
      <c r="D471" t="s">
        <v>36</v>
      </c>
      <c r="E471" t="s">
        <v>37</v>
      </c>
      <c r="F471" t="s">
        <v>37</v>
      </c>
      <c r="G471" t="s">
        <v>37</v>
      </c>
      <c r="J471" t="s">
        <v>51</v>
      </c>
      <c r="K471">
        <v>24148433</v>
      </c>
      <c r="M471">
        <v>269</v>
      </c>
    </row>
    <row r="472" spans="1:33">
      <c r="A472" t="s">
        <v>1258</v>
      </c>
      <c r="B472" t="s">
        <v>1259</v>
      </c>
      <c r="C472" t="s">
        <v>35</v>
      </c>
      <c r="D472" t="s">
        <v>36</v>
      </c>
      <c r="E472" t="s">
        <v>37</v>
      </c>
      <c r="F472" t="s">
        <v>37</v>
      </c>
      <c r="G472" t="s">
        <v>37</v>
      </c>
      <c r="J472" t="s">
        <v>72</v>
      </c>
      <c r="K472" t="s">
        <v>1260</v>
      </c>
      <c r="M472">
        <v>213.44</v>
      </c>
    </row>
    <row r="473" spans="1:33">
      <c r="A473" t="s">
        <v>1261</v>
      </c>
      <c r="B473" t="s">
        <v>1262</v>
      </c>
      <c r="C473" t="s">
        <v>35</v>
      </c>
      <c r="D473" t="s">
        <v>36</v>
      </c>
      <c r="E473" t="s">
        <v>37</v>
      </c>
      <c r="F473" t="s">
        <v>37</v>
      </c>
      <c r="G473" t="s">
        <v>37</v>
      </c>
      <c r="J473" t="s">
        <v>76</v>
      </c>
      <c r="K473">
        <v>4764</v>
      </c>
      <c r="M473">
        <v>55.99</v>
      </c>
    </row>
    <row r="474" spans="1:33">
      <c r="A474" t="s">
        <v>1263</v>
      </c>
      <c r="B474" t="s">
        <v>1264</v>
      </c>
      <c r="C474" t="s">
        <v>35</v>
      </c>
      <c r="D474" t="s">
        <v>36</v>
      </c>
      <c r="E474" t="s">
        <v>37</v>
      </c>
      <c r="F474" t="s">
        <v>37</v>
      </c>
      <c r="G474" t="s">
        <v>37</v>
      </c>
      <c r="J474" t="s">
        <v>62</v>
      </c>
      <c r="K474">
        <v>24581775</v>
      </c>
      <c r="M474">
        <v>89.9</v>
      </c>
      <c r="P474" t="s">
        <v>62</v>
      </c>
      <c r="Q474" t="s">
        <v>1265</v>
      </c>
      <c r="R474" t="s">
        <v>471</v>
      </c>
      <c r="W474">
        <v>0.0</v>
      </c>
      <c r="X474">
        <v>0.0</v>
      </c>
      <c r="Y474">
        <v>0.0</v>
      </c>
      <c r="Z474">
        <v>0.0</v>
      </c>
      <c r="AA474">
        <v>0.0</v>
      </c>
      <c r="AB474">
        <v>0.0</v>
      </c>
      <c r="AC474">
        <v>0.0</v>
      </c>
      <c r="AD474">
        <v>0.0</v>
      </c>
    </row>
    <row r="475" spans="1:33">
      <c r="A475" t="s">
        <v>1266</v>
      </c>
      <c r="B475" t="s">
        <v>1267</v>
      </c>
      <c r="C475" t="s">
        <v>35</v>
      </c>
      <c r="D475" t="s">
        <v>36</v>
      </c>
      <c r="E475" t="s">
        <v>37</v>
      </c>
      <c r="F475" t="s">
        <v>37</v>
      </c>
      <c r="G475" t="s">
        <v>37</v>
      </c>
      <c r="J475" t="s">
        <v>478</v>
      </c>
      <c r="M475">
        <v>170.5</v>
      </c>
      <c r="S475">
        <v>8</v>
      </c>
      <c r="T475">
        <v>1</v>
      </c>
      <c r="U475">
        <v>8</v>
      </c>
      <c r="V475">
        <v>1</v>
      </c>
      <c r="W475">
        <v>0.0</v>
      </c>
      <c r="X475">
        <v>0.0</v>
      </c>
      <c r="Y475">
        <v>0.0</v>
      </c>
      <c r="Z475">
        <v>0.0</v>
      </c>
      <c r="AA475">
        <v>0.0</v>
      </c>
      <c r="AB475">
        <v>0.0</v>
      </c>
      <c r="AC475">
        <v>0.0</v>
      </c>
      <c r="AD475">
        <v>0.0</v>
      </c>
    </row>
    <row r="476" spans="1:33">
      <c r="A476" t="s">
        <v>1268</v>
      </c>
      <c r="B476" t="s">
        <v>1269</v>
      </c>
      <c r="C476" t="s">
        <v>35</v>
      </c>
      <c r="D476" t="s">
        <v>36</v>
      </c>
      <c r="E476" t="s">
        <v>37</v>
      </c>
      <c r="F476" t="s">
        <v>37</v>
      </c>
      <c r="G476" t="s">
        <v>37</v>
      </c>
      <c r="J476" t="s">
        <v>51</v>
      </c>
      <c r="K476">
        <v>24581775</v>
      </c>
      <c r="M476">
        <v>89.8</v>
      </c>
    </row>
    <row r="477" spans="1:33">
      <c r="A477" t="s">
        <v>1270</v>
      </c>
      <c r="B477" t="s">
        <v>1271</v>
      </c>
      <c r="C477" t="s">
        <v>35</v>
      </c>
      <c r="D477" t="s">
        <v>36</v>
      </c>
      <c r="E477" t="s">
        <v>37</v>
      </c>
      <c r="F477" t="s">
        <v>37</v>
      </c>
      <c r="G477" t="s">
        <v>37</v>
      </c>
      <c r="J477" t="s">
        <v>72</v>
      </c>
      <c r="K477" t="s">
        <v>1272</v>
      </c>
      <c r="M477">
        <v>65.01</v>
      </c>
    </row>
    <row r="478" spans="1:33">
      <c r="A478" t="s">
        <v>1273</v>
      </c>
      <c r="B478" t="s">
        <v>1274</v>
      </c>
      <c r="C478" t="s">
        <v>35</v>
      </c>
      <c r="D478" t="s">
        <v>36</v>
      </c>
      <c r="E478" t="s">
        <v>37</v>
      </c>
      <c r="F478" t="s">
        <v>37</v>
      </c>
      <c r="G478" t="s">
        <v>37</v>
      </c>
      <c r="J478" t="s">
        <v>76</v>
      </c>
      <c r="M478">
        <v>609.44</v>
      </c>
    </row>
    <row r="479" spans="1:33">
      <c r="A479" t="s">
        <v>1275</v>
      </c>
      <c r="B479" t="s">
        <v>1276</v>
      </c>
      <c r="C479" t="s">
        <v>35</v>
      </c>
      <c r="D479" t="s">
        <v>228</v>
      </c>
      <c r="E479" t="s">
        <v>37</v>
      </c>
      <c r="F479" t="s">
        <v>37</v>
      </c>
      <c r="G479" t="s">
        <v>37</v>
      </c>
      <c r="J479" t="s">
        <v>62</v>
      </c>
      <c r="K479">
        <v>24342351</v>
      </c>
      <c r="M479">
        <v>28.7</v>
      </c>
      <c r="N479" t="s">
        <v>169</v>
      </c>
      <c r="P479" t="s">
        <v>87</v>
      </c>
      <c r="R479" t="s">
        <v>180</v>
      </c>
      <c r="W479">
        <v>0.0</v>
      </c>
      <c r="X479">
        <v>0.0</v>
      </c>
      <c r="Y479">
        <v>0.0</v>
      </c>
      <c r="Z479">
        <v>0.0</v>
      </c>
      <c r="AA479">
        <v>0.0</v>
      </c>
      <c r="AB479">
        <v>0.0</v>
      </c>
      <c r="AC479">
        <v>0.0</v>
      </c>
      <c r="AD479">
        <v>0.0</v>
      </c>
    </row>
    <row r="480" spans="1:33">
      <c r="A480" t="s">
        <v>1277</v>
      </c>
      <c r="B480" t="s">
        <v>1278</v>
      </c>
      <c r="C480" t="s">
        <v>35</v>
      </c>
      <c r="D480" t="s">
        <v>36</v>
      </c>
      <c r="E480" t="s">
        <v>37</v>
      </c>
      <c r="F480" t="s">
        <v>37</v>
      </c>
      <c r="G480" t="s">
        <v>37</v>
      </c>
      <c r="J480" t="s">
        <v>478</v>
      </c>
      <c r="M480">
        <v>19</v>
      </c>
      <c r="S480">
        <v>5000</v>
      </c>
      <c r="T480">
        <v>1</v>
      </c>
      <c r="U480">
        <v>5000</v>
      </c>
      <c r="V480">
        <v>1</v>
      </c>
      <c r="W480">
        <v>0.0</v>
      </c>
      <c r="X480">
        <v>0.0</v>
      </c>
      <c r="Y480">
        <v>0.0</v>
      </c>
      <c r="Z480">
        <v>0.0</v>
      </c>
      <c r="AA480">
        <v>0.0</v>
      </c>
      <c r="AB480">
        <v>0.0</v>
      </c>
      <c r="AC480">
        <v>0.0</v>
      </c>
      <c r="AD480">
        <v>0.0</v>
      </c>
    </row>
    <row r="481" spans="1:33">
      <c r="A481" t="s">
        <v>1279</v>
      </c>
      <c r="B481" t="s">
        <v>1280</v>
      </c>
      <c r="C481" t="s">
        <v>35</v>
      </c>
      <c r="D481" t="s">
        <v>228</v>
      </c>
      <c r="E481" t="s">
        <v>37</v>
      </c>
      <c r="F481" t="s">
        <v>37</v>
      </c>
      <c r="G481" t="s">
        <v>37</v>
      </c>
      <c r="H481">
        <v>10</v>
      </c>
      <c r="J481" t="s">
        <v>51</v>
      </c>
      <c r="K481">
        <v>24342351</v>
      </c>
      <c r="M481">
        <v>33</v>
      </c>
    </row>
    <row r="482" spans="1:33">
      <c r="A482" t="s">
        <v>1281</v>
      </c>
      <c r="B482" t="s">
        <v>1282</v>
      </c>
      <c r="C482" t="s">
        <v>35</v>
      </c>
      <c r="D482" t="s">
        <v>228</v>
      </c>
      <c r="E482" t="s">
        <v>37</v>
      </c>
      <c r="F482" t="s">
        <v>37</v>
      </c>
      <c r="G482" t="s">
        <v>37</v>
      </c>
      <c r="H482">
        <v>10</v>
      </c>
      <c r="J482" t="s">
        <v>72</v>
      </c>
      <c r="K482" t="s">
        <v>1283</v>
      </c>
      <c r="M482">
        <v>34.59</v>
      </c>
    </row>
    <row r="483" spans="1:33">
      <c r="A483" t="s">
        <v>1284</v>
      </c>
      <c r="B483" t="s">
        <v>1285</v>
      </c>
      <c r="C483" t="s">
        <v>35</v>
      </c>
      <c r="D483" t="s">
        <v>36</v>
      </c>
      <c r="E483" t="s">
        <v>37</v>
      </c>
      <c r="F483" t="s">
        <v>37</v>
      </c>
      <c r="G483" t="s">
        <v>37</v>
      </c>
      <c r="J483" t="s">
        <v>76</v>
      </c>
      <c r="K483">
        <v>1140030</v>
      </c>
      <c r="M483">
        <v>13.41</v>
      </c>
    </row>
    <row r="484" spans="1:33">
      <c r="A484" t="s">
        <v>1286</v>
      </c>
      <c r="B484" t="s">
        <v>1287</v>
      </c>
      <c r="C484" t="s">
        <v>35</v>
      </c>
      <c r="D484" t="s">
        <v>228</v>
      </c>
      <c r="E484" t="s">
        <v>37</v>
      </c>
      <c r="F484" t="s">
        <v>113</v>
      </c>
      <c r="G484" t="s">
        <v>37</v>
      </c>
      <c r="J484" t="s">
        <v>62</v>
      </c>
      <c r="K484">
        <v>808576</v>
      </c>
      <c r="M484">
        <v>2.66</v>
      </c>
      <c r="N484" t="s">
        <v>169</v>
      </c>
      <c r="P484" t="s">
        <v>87</v>
      </c>
      <c r="R484" t="s">
        <v>48</v>
      </c>
      <c r="W484">
        <v>0.0</v>
      </c>
      <c r="X484">
        <v>0.0</v>
      </c>
      <c r="Y484">
        <v>0.0</v>
      </c>
      <c r="Z484">
        <v>0.0</v>
      </c>
      <c r="AA484">
        <v>0.0</v>
      </c>
      <c r="AB484">
        <v>0.0</v>
      </c>
      <c r="AC484">
        <v>0.0</v>
      </c>
      <c r="AD484">
        <v>0.0</v>
      </c>
    </row>
    <row r="485" spans="1:33">
      <c r="A485" t="s">
        <v>1288</v>
      </c>
      <c r="B485" t="s">
        <v>1289</v>
      </c>
      <c r="C485" t="s">
        <v>35</v>
      </c>
      <c r="D485" t="s">
        <v>228</v>
      </c>
      <c r="E485" t="s">
        <v>37</v>
      </c>
      <c r="F485" t="s">
        <v>113</v>
      </c>
      <c r="G485" t="s">
        <v>37</v>
      </c>
      <c r="J485" t="s">
        <v>72</v>
      </c>
      <c r="K485" t="s">
        <v>1290</v>
      </c>
      <c r="M485">
        <v>3.86</v>
      </c>
      <c r="N485" t="s">
        <v>169</v>
      </c>
      <c r="S485">
        <v>5000</v>
      </c>
      <c r="T485">
        <v>1</v>
      </c>
      <c r="U485">
        <v>5000</v>
      </c>
      <c r="V485">
        <v>1</v>
      </c>
      <c r="W485">
        <v>0.0</v>
      </c>
      <c r="X485">
        <v>0.0</v>
      </c>
      <c r="Y485">
        <v>0.0</v>
      </c>
      <c r="Z485">
        <v>0.0</v>
      </c>
      <c r="AA485">
        <v>0.0</v>
      </c>
      <c r="AB485">
        <v>0.0</v>
      </c>
      <c r="AC485">
        <v>0.0</v>
      </c>
      <c r="AD485">
        <v>0.0</v>
      </c>
    </row>
    <row r="486" spans="1:33">
      <c r="A486" t="s">
        <v>1291</v>
      </c>
      <c r="B486" t="s">
        <v>1292</v>
      </c>
      <c r="C486" t="s">
        <v>35</v>
      </c>
      <c r="D486" t="s">
        <v>228</v>
      </c>
      <c r="E486" t="s">
        <v>37</v>
      </c>
      <c r="F486" t="s">
        <v>113</v>
      </c>
      <c r="G486" t="s">
        <v>37</v>
      </c>
      <c r="J486" t="s">
        <v>478</v>
      </c>
      <c r="K486">
        <v>808576</v>
      </c>
      <c r="M486">
        <v>2.66</v>
      </c>
      <c r="N486" t="s">
        <v>169</v>
      </c>
      <c r="S486">
        <v>5000</v>
      </c>
      <c r="T486">
        <v>1</v>
      </c>
      <c r="U486">
        <v>5000</v>
      </c>
      <c r="V486">
        <v>1</v>
      </c>
      <c r="W486">
        <v>0.0</v>
      </c>
      <c r="X486">
        <v>0.0</v>
      </c>
      <c r="Y486">
        <v>0.0</v>
      </c>
      <c r="Z486">
        <v>0.0</v>
      </c>
      <c r="AA486">
        <v>0.0</v>
      </c>
      <c r="AB486">
        <v>0.0</v>
      </c>
      <c r="AC486">
        <v>0.0</v>
      </c>
      <c r="AD486">
        <v>0.0</v>
      </c>
    </row>
    <row r="487" spans="1:33">
      <c r="A487" t="s">
        <v>1293</v>
      </c>
      <c r="B487" t="s">
        <v>1294</v>
      </c>
      <c r="C487" t="s">
        <v>35</v>
      </c>
      <c r="D487" t="s">
        <v>228</v>
      </c>
      <c r="E487" t="s">
        <v>37</v>
      </c>
      <c r="F487" t="s">
        <v>113</v>
      </c>
      <c r="G487" t="s">
        <v>37</v>
      </c>
      <c r="J487" t="s">
        <v>51</v>
      </c>
      <c r="K487">
        <v>808576</v>
      </c>
      <c r="M487">
        <v>2.66</v>
      </c>
      <c r="N487" t="s">
        <v>169</v>
      </c>
      <c r="W487">
        <v>0.0</v>
      </c>
      <c r="X487">
        <v>0.0</v>
      </c>
      <c r="Y487">
        <v>0.0</v>
      </c>
      <c r="Z487">
        <v>0.0</v>
      </c>
      <c r="AA487">
        <v>0.0</v>
      </c>
      <c r="AB487">
        <v>0.0</v>
      </c>
      <c r="AC487">
        <v>0.0</v>
      </c>
      <c r="AD487">
        <v>0.0</v>
      </c>
    </row>
    <row r="488" spans="1:33">
      <c r="A488" t="s">
        <v>1295</v>
      </c>
      <c r="B488" t="s">
        <v>1296</v>
      </c>
      <c r="C488" t="s">
        <v>35</v>
      </c>
      <c r="D488" t="s">
        <v>228</v>
      </c>
      <c r="E488" t="s">
        <v>37</v>
      </c>
      <c r="F488" t="s">
        <v>113</v>
      </c>
      <c r="G488" t="s">
        <v>37</v>
      </c>
      <c r="J488" t="s">
        <v>76</v>
      </c>
      <c r="K488">
        <v>164901</v>
      </c>
      <c r="M488">
        <v>1.11</v>
      </c>
      <c r="N488" t="s">
        <v>169</v>
      </c>
      <c r="P488" t="s">
        <v>46</v>
      </c>
    </row>
    <row r="489" spans="1:33">
      <c r="A489" t="s">
        <v>1297</v>
      </c>
      <c r="B489" t="s">
        <v>1298</v>
      </c>
      <c r="C489" t="s">
        <v>35</v>
      </c>
      <c r="D489" t="s">
        <v>36</v>
      </c>
      <c r="E489" t="s">
        <v>37</v>
      </c>
      <c r="F489" t="s">
        <v>113</v>
      </c>
      <c r="G489" t="s">
        <v>37</v>
      </c>
      <c r="J489" t="s">
        <v>62</v>
      </c>
      <c r="K489">
        <v>1671311</v>
      </c>
      <c r="M489">
        <v>3.56</v>
      </c>
      <c r="N489" t="s">
        <v>169</v>
      </c>
      <c r="P489" t="s">
        <v>87</v>
      </c>
      <c r="R489" t="s">
        <v>48</v>
      </c>
      <c r="W489">
        <v>0.0</v>
      </c>
      <c r="X489">
        <v>0.0</v>
      </c>
      <c r="Y489">
        <v>0.0</v>
      </c>
      <c r="Z489">
        <v>0.0</v>
      </c>
      <c r="AA489">
        <v>0.0</v>
      </c>
      <c r="AB489">
        <v>0.0</v>
      </c>
      <c r="AC489">
        <v>0.0</v>
      </c>
      <c r="AD489">
        <v>0.0</v>
      </c>
    </row>
    <row r="490" spans="1:33">
      <c r="A490" t="s">
        <v>1299</v>
      </c>
      <c r="B490" t="s">
        <v>1298</v>
      </c>
      <c r="C490" t="s">
        <v>35</v>
      </c>
      <c r="D490" t="s">
        <v>36</v>
      </c>
      <c r="E490" t="s">
        <v>37</v>
      </c>
      <c r="F490" t="s">
        <v>113</v>
      </c>
      <c r="G490" t="s">
        <v>37</v>
      </c>
      <c r="J490" t="s">
        <v>72</v>
      </c>
      <c r="K490" t="s">
        <v>1290</v>
      </c>
      <c r="M490">
        <v>3.57</v>
      </c>
      <c r="N490" t="s">
        <v>169</v>
      </c>
      <c r="S490">
        <v>700</v>
      </c>
      <c r="T490">
        <v>1</v>
      </c>
      <c r="U490">
        <v>700</v>
      </c>
      <c r="V490">
        <v>1</v>
      </c>
      <c r="W490">
        <v>0.0</v>
      </c>
      <c r="X490">
        <v>0.0</v>
      </c>
      <c r="Y490">
        <v>0.0</v>
      </c>
      <c r="Z490">
        <v>0.0</v>
      </c>
      <c r="AA490">
        <v>0.0</v>
      </c>
      <c r="AB490">
        <v>0.0</v>
      </c>
      <c r="AC490">
        <v>0.0</v>
      </c>
      <c r="AD490">
        <v>0.0</v>
      </c>
    </row>
    <row r="491" spans="1:33">
      <c r="A491" t="s">
        <v>1300</v>
      </c>
      <c r="B491" t="s">
        <v>1301</v>
      </c>
      <c r="C491" t="s">
        <v>35</v>
      </c>
      <c r="D491" t="s">
        <v>36</v>
      </c>
      <c r="E491" t="s">
        <v>37</v>
      </c>
      <c r="F491" t="s">
        <v>113</v>
      </c>
      <c r="G491" t="s">
        <v>37</v>
      </c>
      <c r="J491" t="s">
        <v>76</v>
      </c>
      <c r="M491">
        <v>3.56</v>
      </c>
      <c r="N491" t="s">
        <v>169</v>
      </c>
      <c r="S491">
        <v>700</v>
      </c>
      <c r="T491">
        <v>1</v>
      </c>
      <c r="U491">
        <v>700</v>
      </c>
      <c r="V491">
        <v>1</v>
      </c>
      <c r="W491">
        <v>0.0</v>
      </c>
      <c r="X491">
        <v>0.0</v>
      </c>
      <c r="Y491">
        <v>0.0</v>
      </c>
      <c r="Z491">
        <v>0.0</v>
      </c>
      <c r="AA491">
        <v>0.0</v>
      </c>
      <c r="AB491">
        <v>0.0</v>
      </c>
      <c r="AC491">
        <v>0.0</v>
      </c>
      <c r="AD491">
        <v>0.0</v>
      </c>
    </row>
    <row r="492" spans="1:33">
      <c r="A492" t="s">
        <v>1302</v>
      </c>
      <c r="B492" t="s">
        <v>1298</v>
      </c>
      <c r="C492" t="s">
        <v>35</v>
      </c>
      <c r="D492" t="s">
        <v>36</v>
      </c>
      <c r="E492" t="s">
        <v>37</v>
      </c>
      <c r="F492" t="s">
        <v>113</v>
      </c>
      <c r="G492" t="s">
        <v>37</v>
      </c>
      <c r="J492" t="s">
        <v>51</v>
      </c>
      <c r="K492">
        <v>1671311</v>
      </c>
      <c r="M492">
        <v>3.56</v>
      </c>
      <c r="W492">
        <v>0.0</v>
      </c>
      <c r="X492">
        <v>0.0</v>
      </c>
      <c r="Y492">
        <v>0.0</v>
      </c>
      <c r="Z492">
        <v>0.0</v>
      </c>
      <c r="AA492">
        <v>0.0</v>
      </c>
      <c r="AB492">
        <v>0.0</v>
      </c>
      <c r="AC492">
        <v>0.0</v>
      </c>
      <c r="AD492">
        <v>0.0</v>
      </c>
    </row>
    <row r="493" spans="1:33">
      <c r="A493" t="s">
        <v>1303</v>
      </c>
      <c r="B493" t="s">
        <v>1304</v>
      </c>
      <c r="C493" t="s">
        <v>35</v>
      </c>
      <c r="D493" t="s">
        <v>641</v>
      </c>
      <c r="E493" t="s">
        <v>37</v>
      </c>
      <c r="F493" t="s">
        <v>113</v>
      </c>
      <c r="G493" t="s">
        <v>37</v>
      </c>
      <c r="H493">
        <v>1</v>
      </c>
      <c r="J493" t="s">
        <v>72</v>
      </c>
      <c r="K493" t="s">
        <v>1305</v>
      </c>
      <c r="M493">
        <v>1.34</v>
      </c>
      <c r="N493" t="s">
        <v>169</v>
      </c>
      <c r="P493" t="s">
        <v>46</v>
      </c>
      <c r="S493">
        <v>5000</v>
      </c>
      <c r="T493">
        <v>1</v>
      </c>
      <c r="U493">
        <v>5000</v>
      </c>
      <c r="V493">
        <v>1</v>
      </c>
      <c r="W493">
        <v>0.0</v>
      </c>
      <c r="X493">
        <v>0.0</v>
      </c>
      <c r="Y493">
        <v>0.0</v>
      </c>
      <c r="Z493">
        <v>0.0</v>
      </c>
      <c r="AA493">
        <v>0.0</v>
      </c>
      <c r="AB493">
        <v>0.0</v>
      </c>
      <c r="AC493">
        <v>0.0</v>
      </c>
      <c r="AD493">
        <v>0.0</v>
      </c>
    </row>
    <row r="494" spans="1:33">
      <c r="A494" t="s">
        <v>1306</v>
      </c>
      <c r="B494" t="s">
        <v>1307</v>
      </c>
      <c r="C494" t="s">
        <v>35</v>
      </c>
      <c r="D494" t="s">
        <v>641</v>
      </c>
      <c r="E494" t="s">
        <v>37</v>
      </c>
      <c r="F494" t="s">
        <v>113</v>
      </c>
      <c r="G494" t="s">
        <v>37</v>
      </c>
      <c r="H494">
        <v>1</v>
      </c>
      <c r="J494" t="s">
        <v>478</v>
      </c>
      <c r="K494">
        <v>103549</v>
      </c>
      <c r="M494">
        <v>1.07</v>
      </c>
      <c r="N494" t="s">
        <v>169</v>
      </c>
      <c r="S494">
        <v>5000</v>
      </c>
      <c r="T494">
        <v>1</v>
      </c>
      <c r="U494">
        <v>5000</v>
      </c>
      <c r="V494">
        <v>1</v>
      </c>
      <c r="W494">
        <v>0.0</v>
      </c>
      <c r="X494">
        <v>0.0</v>
      </c>
      <c r="Y494">
        <v>0.0</v>
      </c>
      <c r="Z494">
        <v>0.0</v>
      </c>
      <c r="AA494">
        <v>0.0</v>
      </c>
      <c r="AB494">
        <v>0.0</v>
      </c>
      <c r="AC494">
        <v>0.0</v>
      </c>
      <c r="AD494">
        <v>0.0</v>
      </c>
    </row>
    <row r="495" spans="1:33">
      <c r="A495" t="s">
        <v>1308</v>
      </c>
      <c r="B495" t="s">
        <v>1309</v>
      </c>
      <c r="C495" t="s">
        <v>35</v>
      </c>
      <c r="D495" t="s">
        <v>641</v>
      </c>
      <c r="E495" t="s">
        <v>37</v>
      </c>
      <c r="F495" t="s">
        <v>113</v>
      </c>
      <c r="G495" t="s">
        <v>37</v>
      </c>
      <c r="J495" t="s">
        <v>51</v>
      </c>
      <c r="K495">
        <v>103549</v>
      </c>
      <c r="M495">
        <v>1.07</v>
      </c>
      <c r="W495">
        <v>0.0</v>
      </c>
      <c r="X495">
        <v>0.0</v>
      </c>
      <c r="Y495">
        <v>0.0</v>
      </c>
      <c r="Z495">
        <v>0.0</v>
      </c>
      <c r="AA495">
        <v>0.0</v>
      </c>
      <c r="AB495">
        <v>0.0</v>
      </c>
      <c r="AC495">
        <v>0.0</v>
      </c>
      <c r="AD495">
        <v>0.0</v>
      </c>
    </row>
    <row r="496" spans="1:33">
      <c r="A496" t="s">
        <v>1310</v>
      </c>
      <c r="B496" t="s">
        <v>1311</v>
      </c>
      <c r="C496" t="s">
        <v>35</v>
      </c>
      <c r="D496" t="s">
        <v>641</v>
      </c>
      <c r="E496" t="s">
        <v>37</v>
      </c>
      <c r="F496" t="s">
        <v>113</v>
      </c>
      <c r="G496" t="s">
        <v>37</v>
      </c>
      <c r="J496" t="s">
        <v>76</v>
      </c>
      <c r="K496">
        <v>1589016</v>
      </c>
      <c r="M496">
        <v>1.17</v>
      </c>
      <c r="P496" t="s">
        <v>46</v>
      </c>
      <c r="W496">
        <v>0.0</v>
      </c>
      <c r="X496">
        <v>0.0</v>
      </c>
      <c r="Y496">
        <v>0.0</v>
      </c>
      <c r="Z496">
        <v>0.0</v>
      </c>
      <c r="AA496">
        <v>0.0</v>
      </c>
      <c r="AB496">
        <v>0.0</v>
      </c>
      <c r="AC496">
        <v>0.0</v>
      </c>
      <c r="AD496">
        <v>0.0</v>
      </c>
    </row>
    <row r="497" spans="1:33">
      <c r="A497" t="s">
        <v>1312</v>
      </c>
      <c r="B497" t="s">
        <v>1313</v>
      </c>
      <c r="C497" t="s">
        <v>35</v>
      </c>
      <c r="D497" t="s">
        <v>204</v>
      </c>
      <c r="E497" t="s">
        <v>37</v>
      </c>
      <c r="F497" t="s">
        <v>113</v>
      </c>
      <c r="G497" t="s">
        <v>37</v>
      </c>
      <c r="J497" t="s">
        <v>62</v>
      </c>
      <c r="K497">
        <v>483636</v>
      </c>
      <c r="M497">
        <v>7.17</v>
      </c>
      <c r="P497" t="s">
        <v>87</v>
      </c>
      <c r="R497" t="s">
        <v>48</v>
      </c>
      <c r="W497">
        <v>0.0</v>
      </c>
      <c r="X497">
        <v>0.0</v>
      </c>
      <c r="Y497">
        <v>0.0</v>
      </c>
      <c r="Z497">
        <v>0.0</v>
      </c>
      <c r="AA497">
        <v>0.0</v>
      </c>
      <c r="AB497">
        <v>0.0</v>
      </c>
      <c r="AC497">
        <v>0.0</v>
      </c>
      <c r="AD497">
        <v>0.0</v>
      </c>
    </row>
    <row r="498" spans="1:33">
      <c r="A498" t="s">
        <v>1314</v>
      </c>
      <c r="B498" t="s">
        <v>1315</v>
      </c>
      <c r="C498" t="s">
        <v>35</v>
      </c>
      <c r="D498" t="s">
        <v>204</v>
      </c>
      <c r="E498" t="s">
        <v>37</v>
      </c>
      <c r="F498" t="s">
        <v>113</v>
      </c>
      <c r="G498" t="s">
        <v>37</v>
      </c>
      <c r="H498">
        <v>4</v>
      </c>
      <c r="J498" t="s">
        <v>72</v>
      </c>
      <c r="K498" t="s">
        <v>1316</v>
      </c>
      <c r="M498">
        <v>7.77</v>
      </c>
      <c r="N498" t="s">
        <v>169</v>
      </c>
      <c r="S498">
        <v>1500</v>
      </c>
      <c r="T498">
        <v>1</v>
      </c>
      <c r="U498">
        <v>1500</v>
      </c>
      <c r="V498">
        <v>1</v>
      </c>
      <c r="W498">
        <v>0.0</v>
      </c>
      <c r="X498">
        <v>0.0</v>
      </c>
      <c r="Y498">
        <v>0.0</v>
      </c>
      <c r="Z498">
        <v>0.0</v>
      </c>
      <c r="AA498">
        <v>0.0</v>
      </c>
      <c r="AB498">
        <v>0.0</v>
      </c>
      <c r="AC498">
        <v>0.0</v>
      </c>
      <c r="AD498">
        <v>0.0</v>
      </c>
    </row>
    <row r="499" spans="1:33">
      <c r="A499" t="s">
        <v>1317</v>
      </c>
      <c r="B499" t="s">
        <v>1315</v>
      </c>
      <c r="C499" t="s">
        <v>35</v>
      </c>
      <c r="D499" t="s">
        <v>204</v>
      </c>
      <c r="E499" t="s">
        <v>37</v>
      </c>
      <c r="F499" t="s">
        <v>113</v>
      </c>
      <c r="G499" t="s">
        <v>37</v>
      </c>
      <c r="J499" t="s">
        <v>478</v>
      </c>
      <c r="K499">
        <v>483636</v>
      </c>
      <c r="M499">
        <v>7.17</v>
      </c>
      <c r="N499" t="s">
        <v>169</v>
      </c>
      <c r="S499">
        <v>1500</v>
      </c>
      <c r="T499">
        <v>1</v>
      </c>
      <c r="U499">
        <v>1500</v>
      </c>
      <c r="V499">
        <v>1</v>
      </c>
      <c r="W499">
        <v>0.0</v>
      </c>
      <c r="X499">
        <v>0.0</v>
      </c>
      <c r="Y499">
        <v>0.0</v>
      </c>
      <c r="Z499">
        <v>0.0</v>
      </c>
      <c r="AA499">
        <v>0.0</v>
      </c>
      <c r="AB499">
        <v>0.0</v>
      </c>
      <c r="AC499">
        <v>0.0</v>
      </c>
      <c r="AD499">
        <v>0.0</v>
      </c>
    </row>
    <row r="500" spans="1:33">
      <c r="A500" t="s">
        <v>1318</v>
      </c>
      <c r="B500" t="s">
        <v>1319</v>
      </c>
      <c r="C500" t="s">
        <v>35</v>
      </c>
      <c r="D500" t="s">
        <v>204</v>
      </c>
      <c r="E500" t="s">
        <v>37</v>
      </c>
      <c r="F500" t="s">
        <v>113</v>
      </c>
      <c r="G500" t="s">
        <v>37</v>
      </c>
      <c r="J500" t="s">
        <v>51</v>
      </c>
      <c r="K500">
        <v>483636</v>
      </c>
      <c r="M500">
        <v>7.17</v>
      </c>
      <c r="W500">
        <v>0.0</v>
      </c>
      <c r="X500">
        <v>0.0</v>
      </c>
      <c r="Y500">
        <v>0.0</v>
      </c>
      <c r="Z500">
        <v>0.0</v>
      </c>
      <c r="AA500">
        <v>0.0</v>
      </c>
      <c r="AB500">
        <v>0.0</v>
      </c>
      <c r="AC500">
        <v>0.0</v>
      </c>
      <c r="AD500">
        <v>0.0</v>
      </c>
    </row>
    <row r="501" spans="1:33">
      <c r="A501" t="s">
        <v>1320</v>
      </c>
      <c r="B501" t="s">
        <v>1321</v>
      </c>
      <c r="C501" t="s">
        <v>35</v>
      </c>
      <c r="D501" t="s">
        <v>204</v>
      </c>
      <c r="E501" t="s">
        <v>37</v>
      </c>
      <c r="F501" t="s">
        <v>113</v>
      </c>
      <c r="G501" t="s">
        <v>37</v>
      </c>
      <c r="J501" t="s">
        <v>76</v>
      </c>
      <c r="K501">
        <v>623427</v>
      </c>
      <c r="M501">
        <v>7.58</v>
      </c>
      <c r="P501" t="s">
        <v>46</v>
      </c>
      <c r="W501">
        <v>0.0</v>
      </c>
      <c r="X501">
        <v>0.0</v>
      </c>
      <c r="Y501">
        <v>0.0</v>
      </c>
      <c r="Z501">
        <v>0.0</v>
      </c>
      <c r="AA501">
        <v>0.0</v>
      </c>
      <c r="AB501">
        <v>0.0</v>
      </c>
      <c r="AC501">
        <v>0.0</v>
      </c>
      <c r="AD501">
        <v>0.0</v>
      </c>
    </row>
    <row r="502" spans="1:33">
      <c r="A502" t="s">
        <v>1322</v>
      </c>
      <c r="B502" t="s">
        <v>1323</v>
      </c>
      <c r="C502" t="s">
        <v>35</v>
      </c>
      <c r="D502" t="s">
        <v>228</v>
      </c>
      <c r="E502" t="s">
        <v>37</v>
      </c>
      <c r="F502" t="s">
        <v>113</v>
      </c>
      <c r="G502" t="s">
        <v>37</v>
      </c>
      <c r="J502" t="s">
        <v>62</v>
      </c>
      <c r="K502" t="s">
        <v>1324</v>
      </c>
      <c r="M502">
        <v>4.98</v>
      </c>
      <c r="N502" t="s">
        <v>169</v>
      </c>
      <c r="P502" t="s">
        <v>87</v>
      </c>
      <c r="R502" t="s">
        <v>471</v>
      </c>
      <c r="W502">
        <v>0.0</v>
      </c>
      <c r="X502">
        <v>0.0</v>
      </c>
      <c r="Y502">
        <v>0.0</v>
      </c>
      <c r="Z502">
        <v>0.0</v>
      </c>
      <c r="AA502">
        <v>0.0</v>
      </c>
      <c r="AB502">
        <v>0.0</v>
      </c>
      <c r="AC502">
        <v>0.0</v>
      </c>
      <c r="AD502">
        <v>0.0</v>
      </c>
    </row>
    <row r="503" spans="1:33">
      <c r="A503" t="s">
        <v>1325</v>
      </c>
      <c r="B503" t="s">
        <v>1326</v>
      </c>
      <c r="C503" t="s">
        <v>35</v>
      </c>
      <c r="D503" t="s">
        <v>228</v>
      </c>
      <c r="E503" t="s">
        <v>37</v>
      </c>
      <c r="F503" t="s">
        <v>113</v>
      </c>
      <c r="G503" t="s">
        <v>37</v>
      </c>
      <c r="J503" t="s">
        <v>478</v>
      </c>
      <c r="K503">
        <v>215067</v>
      </c>
      <c r="M503">
        <v>4.98</v>
      </c>
      <c r="N503" t="s">
        <v>169</v>
      </c>
      <c r="S503">
        <v>5000</v>
      </c>
      <c r="T503">
        <v>1</v>
      </c>
      <c r="U503">
        <v>5000</v>
      </c>
      <c r="V503">
        <v>1</v>
      </c>
      <c r="W503">
        <v>0.0</v>
      </c>
      <c r="X503">
        <v>0.0</v>
      </c>
      <c r="Y503">
        <v>0.0</v>
      </c>
      <c r="Z503">
        <v>0.0</v>
      </c>
      <c r="AA503">
        <v>0.0</v>
      </c>
      <c r="AB503">
        <v>0.0</v>
      </c>
      <c r="AC503">
        <v>0.0</v>
      </c>
      <c r="AD503">
        <v>0.0</v>
      </c>
    </row>
    <row r="504" spans="1:33">
      <c r="A504" t="s">
        <v>1327</v>
      </c>
      <c r="B504" t="s">
        <v>1328</v>
      </c>
      <c r="C504" t="s">
        <v>35</v>
      </c>
      <c r="D504" t="s">
        <v>228</v>
      </c>
      <c r="E504" t="s">
        <v>37</v>
      </c>
      <c r="F504" t="s">
        <v>113</v>
      </c>
      <c r="G504" t="s">
        <v>37</v>
      </c>
      <c r="J504" t="s">
        <v>51</v>
      </c>
      <c r="K504">
        <v>215067</v>
      </c>
      <c r="M504">
        <v>4.98</v>
      </c>
      <c r="W504">
        <v>0.0</v>
      </c>
      <c r="X504">
        <v>0.0</v>
      </c>
      <c r="Y504">
        <v>0.0</v>
      </c>
      <c r="Z504">
        <v>0.0</v>
      </c>
      <c r="AA504">
        <v>0.0</v>
      </c>
      <c r="AB504">
        <v>0.0</v>
      </c>
      <c r="AC504">
        <v>0.0</v>
      </c>
      <c r="AD504">
        <v>0.0</v>
      </c>
    </row>
    <row r="505" spans="1:33">
      <c r="A505" t="s">
        <v>1329</v>
      </c>
      <c r="B505" t="s">
        <v>1330</v>
      </c>
      <c r="C505" t="s">
        <v>35</v>
      </c>
      <c r="D505" t="s">
        <v>228</v>
      </c>
      <c r="E505" t="s">
        <v>37</v>
      </c>
      <c r="F505" t="s">
        <v>113</v>
      </c>
      <c r="G505" t="s">
        <v>37</v>
      </c>
      <c r="J505" t="s">
        <v>62</v>
      </c>
      <c r="K505" t="s">
        <v>1331</v>
      </c>
      <c r="M505">
        <v>4.98</v>
      </c>
      <c r="N505" t="s">
        <v>169</v>
      </c>
      <c r="P505" t="s">
        <v>87</v>
      </c>
      <c r="R505" t="s">
        <v>471</v>
      </c>
      <c r="W505">
        <v>0.0</v>
      </c>
      <c r="X505">
        <v>0.0</v>
      </c>
      <c r="Y505">
        <v>0.0</v>
      </c>
      <c r="Z505">
        <v>0.0</v>
      </c>
      <c r="AA505">
        <v>0.0</v>
      </c>
      <c r="AB505">
        <v>0.0</v>
      </c>
      <c r="AC505">
        <v>0.0</v>
      </c>
      <c r="AD505">
        <v>0.0</v>
      </c>
    </row>
    <row r="506" spans="1:33">
      <c r="A506" t="s">
        <v>1332</v>
      </c>
      <c r="B506" t="s">
        <v>1333</v>
      </c>
      <c r="C506" t="s">
        <v>35</v>
      </c>
      <c r="D506" t="s">
        <v>228</v>
      </c>
      <c r="E506" t="s">
        <v>37</v>
      </c>
      <c r="F506" t="s">
        <v>113</v>
      </c>
      <c r="G506" t="s">
        <v>37</v>
      </c>
      <c r="J506" t="s">
        <v>478</v>
      </c>
      <c r="K506">
        <v>69396</v>
      </c>
      <c r="M506">
        <v>4.98</v>
      </c>
      <c r="N506" t="s">
        <v>169</v>
      </c>
      <c r="S506">
        <v>5000</v>
      </c>
      <c r="T506">
        <v>1</v>
      </c>
      <c r="U506">
        <v>5000</v>
      </c>
      <c r="V506">
        <v>1</v>
      </c>
      <c r="W506">
        <v>0.0</v>
      </c>
      <c r="X506">
        <v>0.0</v>
      </c>
      <c r="Y506">
        <v>0.0</v>
      </c>
      <c r="Z506">
        <v>0.0</v>
      </c>
      <c r="AA506">
        <v>0.0</v>
      </c>
      <c r="AB506">
        <v>0.0</v>
      </c>
      <c r="AC506">
        <v>0.0</v>
      </c>
      <c r="AD506">
        <v>0.0</v>
      </c>
    </row>
    <row r="507" spans="1:33">
      <c r="A507" t="s">
        <v>1334</v>
      </c>
      <c r="B507" t="s">
        <v>1335</v>
      </c>
      <c r="C507" t="s">
        <v>35</v>
      </c>
      <c r="D507" t="s">
        <v>228</v>
      </c>
      <c r="E507" t="s">
        <v>37</v>
      </c>
      <c r="F507" t="s">
        <v>113</v>
      </c>
      <c r="G507" t="s">
        <v>37</v>
      </c>
      <c r="J507" t="s">
        <v>51</v>
      </c>
      <c r="K507">
        <v>69396</v>
      </c>
      <c r="M507">
        <v>4.98</v>
      </c>
      <c r="W507">
        <v>0.0</v>
      </c>
      <c r="X507">
        <v>0.0</v>
      </c>
      <c r="Y507">
        <v>0.0</v>
      </c>
      <c r="Z507">
        <v>0.0</v>
      </c>
      <c r="AA507">
        <v>0.0</v>
      </c>
      <c r="AB507">
        <v>0.0</v>
      </c>
      <c r="AC507">
        <v>0.0</v>
      </c>
      <c r="AD507">
        <v>0.0</v>
      </c>
    </row>
    <row r="508" spans="1:33">
      <c r="A508" t="s">
        <v>1336</v>
      </c>
      <c r="B508" t="s">
        <v>1337</v>
      </c>
      <c r="C508" t="s">
        <v>35</v>
      </c>
      <c r="D508" t="s">
        <v>228</v>
      </c>
      <c r="E508" t="s">
        <v>37</v>
      </c>
      <c r="F508" t="s">
        <v>113</v>
      </c>
      <c r="G508" t="s">
        <v>37</v>
      </c>
      <c r="J508" t="s">
        <v>62</v>
      </c>
      <c r="K508">
        <v>24376603</v>
      </c>
      <c r="M508">
        <v>5.37</v>
      </c>
      <c r="N508" t="s">
        <v>169</v>
      </c>
      <c r="P508" t="s">
        <v>87</v>
      </c>
      <c r="R508" t="s">
        <v>48</v>
      </c>
      <c r="W508">
        <v>0.0</v>
      </c>
      <c r="X508">
        <v>0.0</v>
      </c>
      <c r="Y508">
        <v>0.0</v>
      </c>
      <c r="Z508">
        <v>0.0</v>
      </c>
      <c r="AA508">
        <v>0.0</v>
      </c>
      <c r="AB508">
        <v>0.0</v>
      </c>
      <c r="AC508">
        <v>0.0</v>
      </c>
      <c r="AD508">
        <v>0.0</v>
      </c>
    </row>
    <row r="509" spans="1:33">
      <c r="A509" t="s">
        <v>1338</v>
      </c>
      <c r="B509" t="s">
        <v>1339</v>
      </c>
      <c r="C509" t="s">
        <v>35</v>
      </c>
      <c r="D509" t="s">
        <v>228</v>
      </c>
      <c r="E509" t="s">
        <v>37</v>
      </c>
      <c r="F509" t="s">
        <v>113</v>
      </c>
      <c r="G509" t="s">
        <v>37</v>
      </c>
      <c r="H509">
        <v>4</v>
      </c>
      <c r="J509" t="s">
        <v>72</v>
      </c>
      <c r="K509" t="s">
        <v>1340</v>
      </c>
      <c r="M509">
        <v>1.5</v>
      </c>
      <c r="N509" t="s">
        <v>169</v>
      </c>
      <c r="S509">
        <v>1250</v>
      </c>
      <c r="T509">
        <v>1</v>
      </c>
      <c r="U509">
        <v>1250</v>
      </c>
      <c r="V509">
        <v>1</v>
      </c>
      <c r="W509">
        <v>0.0</v>
      </c>
      <c r="X509">
        <v>0.0</v>
      </c>
      <c r="Y509">
        <v>0.0</v>
      </c>
      <c r="Z509">
        <v>0.0</v>
      </c>
      <c r="AA509">
        <v>0.0</v>
      </c>
      <c r="AB509">
        <v>0.0</v>
      </c>
      <c r="AC509">
        <v>0.0</v>
      </c>
      <c r="AD509">
        <v>0.0</v>
      </c>
    </row>
    <row r="510" spans="1:33">
      <c r="A510" t="s">
        <v>1341</v>
      </c>
      <c r="B510" t="s">
        <v>1342</v>
      </c>
      <c r="C510" t="s">
        <v>35</v>
      </c>
      <c r="D510" t="s">
        <v>228</v>
      </c>
      <c r="E510" t="s">
        <v>37</v>
      </c>
      <c r="F510" t="s">
        <v>113</v>
      </c>
      <c r="G510" t="s">
        <v>37</v>
      </c>
      <c r="J510" t="s">
        <v>478</v>
      </c>
      <c r="K510">
        <v>24376603</v>
      </c>
      <c r="M510">
        <v>5.37</v>
      </c>
      <c r="N510" t="s">
        <v>169</v>
      </c>
      <c r="S510">
        <v>1250</v>
      </c>
      <c r="T510">
        <v>1</v>
      </c>
      <c r="U510">
        <v>1250</v>
      </c>
      <c r="V510">
        <v>1</v>
      </c>
      <c r="W510">
        <v>0.0</v>
      </c>
      <c r="X510">
        <v>0.0</v>
      </c>
      <c r="Y510">
        <v>0.0</v>
      </c>
      <c r="Z510">
        <v>0.0</v>
      </c>
      <c r="AA510">
        <v>0.0</v>
      </c>
      <c r="AB510">
        <v>0.0</v>
      </c>
      <c r="AC510">
        <v>0.0</v>
      </c>
      <c r="AD510">
        <v>0.0</v>
      </c>
    </row>
    <row r="511" spans="1:33">
      <c r="A511" t="s">
        <v>1343</v>
      </c>
      <c r="B511" t="s">
        <v>1344</v>
      </c>
      <c r="C511" t="s">
        <v>35</v>
      </c>
      <c r="D511" t="s">
        <v>228</v>
      </c>
      <c r="E511" t="s">
        <v>37</v>
      </c>
      <c r="F511" t="s">
        <v>113</v>
      </c>
      <c r="G511" t="s">
        <v>37</v>
      </c>
      <c r="J511" t="s">
        <v>51</v>
      </c>
      <c r="K511">
        <v>2072180</v>
      </c>
      <c r="M511">
        <v>5.37</v>
      </c>
      <c r="W511">
        <v>0.0</v>
      </c>
      <c r="X511">
        <v>0.0</v>
      </c>
      <c r="Y511">
        <v>0.0</v>
      </c>
      <c r="Z511">
        <v>0.0</v>
      </c>
      <c r="AA511">
        <v>0.0</v>
      </c>
      <c r="AB511">
        <v>0.0</v>
      </c>
      <c r="AC511">
        <v>0.0</v>
      </c>
      <c r="AD511">
        <v>0.0</v>
      </c>
    </row>
    <row r="512" spans="1:33">
      <c r="A512" t="s">
        <v>1345</v>
      </c>
      <c r="B512" t="s">
        <v>1346</v>
      </c>
      <c r="C512" t="s">
        <v>35</v>
      </c>
      <c r="D512" t="s">
        <v>228</v>
      </c>
      <c r="E512" t="s">
        <v>37</v>
      </c>
      <c r="F512" t="s">
        <v>113</v>
      </c>
      <c r="G512" t="s">
        <v>37</v>
      </c>
      <c r="J512" t="s">
        <v>76</v>
      </c>
      <c r="K512">
        <v>623316</v>
      </c>
      <c r="M512">
        <v>16.8</v>
      </c>
      <c r="P512" t="s">
        <v>46</v>
      </c>
      <c r="W512">
        <v>0.0</v>
      </c>
      <c r="X512">
        <v>0.0</v>
      </c>
      <c r="Y512">
        <v>0.0</v>
      </c>
      <c r="Z512">
        <v>0.0</v>
      </c>
      <c r="AA512">
        <v>0.0</v>
      </c>
      <c r="AB512">
        <v>0.0</v>
      </c>
      <c r="AC512">
        <v>0.0</v>
      </c>
      <c r="AD512">
        <v>0.0</v>
      </c>
    </row>
    <row r="513" spans="1:33">
      <c r="A513" t="s">
        <v>1347</v>
      </c>
      <c r="B513" t="s">
        <v>1348</v>
      </c>
      <c r="C513" t="s">
        <v>35</v>
      </c>
      <c r="D513" t="s">
        <v>36</v>
      </c>
      <c r="E513" t="s">
        <v>37</v>
      </c>
      <c r="F513" t="s">
        <v>113</v>
      </c>
      <c r="G513" t="s">
        <v>37</v>
      </c>
      <c r="H513">
        <v>1</v>
      </c>
      <c r="J513" t="s">
        <v>72</v>
      </c>
      <c r="K513" t="s">
        <v>1349</v>
      </c>
      <c r="M513">
        <v>3.22</v>
      </c>
      <c r="N513" t="s">
        <v>169</v>
      </c>
      <c r="S513">
        <v>750</v>
      </c>
      <c r="T513">
        <v>1</v>
      </c>
      <c r="U513">
        <v>750</v>
      </c>
      <c r="V513">
        <v>1</v>
      </c>
      <c r="W513">
        <v>0.0</v>
      </c>
      <c r="X513">
        <v>0.0</v>
      </c>
      <c r="Y513">
        <v>0.0</v>
      </c>
      <c r="Z513">
        <v>0.0</v>
      </c>
      <c r="AA513">
        <v>0.0</v>
      </c>
      <c r="AB513">
        <v>0.0</v>
      </c>
      <c r="AC513">
        <v>0.0</v>
      </c>
      <c r="AD513">
        <v>0.0</v>
      </c>
    </row>
    <row r="514" spans="1:33">
      <c r="A514" t="s">
        <v>1350</v>
      </c>
      <c r="B514" t="s">
        <v>1351</v>
      </c>
      <c r="C514" t="s">
        <v>35</v>
      </c>
      <c r="D514" t="s">
        <v>36</v>
      </c>
      <c r="E514" t="s">
        <v>37</v>
      </c>
      <c r="F514" t="s">
        <v>113</v>
      </c>
      <c r="G514" t="s">
        <v>37</v>
      </c>
      <c r="H514">
        <v>1</v>
      </c>
      <c r="J514" t="s">
        <v>478</v>
      </c>
      <c r="K514">
        <v>24570482</v>
      </c>
      <c r="M514">
        <v>6.48</v>
      </c>
      <c r="N514" t="s">
        <v>169</v>
      </c>
      <c r="S514">
        <v>750</v>
      </c>
      <c r="T514">
        <v>1</v>
      </c>
      <c r="U514">
        <v>750</v>
      </c>
      <c r="V514">
        <v>1</v>
      </c>
      <c r="W514">
        <v>0.0</v>
      </c>
      <c r="X514">
        <v>0.0</v>
      </c>
      <c r="Y514">
        <v>0.0</v>
      </c>
      <c r="Z514">
        <v>0.0</v>
      </c>
      <c r="AA514">
        <v>0.0</v>
      </c>
      <c r="AB514">
        <v>0.0</v>
      </c>
      <c r="AC514">
        <v>0.0</v>
      </c>
      <c r="AD514">
        <v>0.0</v>
      </c>
    </row>
    <row r="515" spans="1:33">
      <c r="A515" t="s">
        <v>1352</v>
      </c>
      <c r="B515" t="s">
        <v>1353</v>
      </c>
      <c r="C515" t="s">
        <v>35</v>
      </c>
      <c r="D515" t="s">
        <v>36</v>
      </c>
      <c r="E515" t="s">
        <v>37</v>
      </c>
      <c r="F515" t="s">
        <v>113</v>
      </c>
      <c r="G515" t="s">
        <v>37</v>
      </c>
      <c r="J515" t="s">
        <v>51</v>
      </c>
      <c r="K515">
        <v>24570482</v>
      </c>
      <c r="M515">
        <v>6.48</v>
      </c>
      <c r="W515">
        <v>0.0</v>
      </c>
      <c r="X515">
        <v>0.0</v>
      </c>
      <c r="Y515">
        <v>0.0</v>
      </c>
      <c r="Z515">
        <v>0.0</v>
      </c>
      <c r="AA515">
        <v>0.0</v>
      </c>
      <c r="AB515">
        <v>0.0</v>
      </c>
      <c r="AC515">
        <v>0.0</v>
      </c>
      <c r="AD515">
        <v>0.0</v>
      </c>
    </row>
    <row r="516" spans="1:33">
      <c r="A516" t="s">
        <v>1354</v>
      </c>
      <c r="B516" t="s">
        <v>1355</v>
      </c>
      <c r="C516" t="s">
        <v>35</v>
      </c>
      <c r="D516" t="s">
        <v>36</v>
      </c>
      <c r="E516" t="s">
        <v>37</v>
      </c>
      <c r="F516" t="s">
        <v>113</v>
      </c>
      <c r="G516" t="s">
        <v>37</v>
      </c>
      <c r="J516" t="s">
        <v>51</v>
      </c>
      <c r="K516">
        <v>24570482</v>
      </c>
      <c r="M516">
        <v>6.48</v>
      </c>
      <c r="P516" t="s">
        <v>46</v>
      </c>
      <c r="W516">
        <v>0.0</v>
      </c>
      <c r="X516">
        <v>0.0</v>
      </c>
      <c r="Y516">
        <v>0.0</v>
      </c>
      <c r="Z516">
        <v>0.0</v>
      </c>
      <c r="AA516">
        <v>0.0</v>
      </c>
      <c r="AB516">
        <v>0.0</v>
      </c>
      <c r="AC516">
        <v>0.0</v>
      </c>
      <c r="AD516">
        <v>0.0</v>
      </c>
    </row>
    <row r="517" spans="1:33">
      <c r="A517" t="s">
        <v>1356</v>
      </c>
      <c r="B517" t="s">
        <v>1357</v>
      </c>
      <c r="C517" t="s">
        <v>35</v>
      </c>
      <c r="D517" t="s">
        <v>36</v>
      </c>
      <c r="E517" t="s">
        <v>37</v>
      </c>
      <c r="F517" t="s">
        <v>113</v>
      </c>
      <c r="G517" t="s">
        <v>37</v>
      </c>
      <c r="J517" t="s">
        <v>76</v>
      </c>
      <c r="K517" t="s">
        <v>1358</v>
      </c>
      <c r="M517">
        <v>10.5</v>
      </c>
      <c r="P517" t="s">
        <v>46</v>
      </c>
      <c r="W517">
        <v>0.0</v>
      </c>
      <c r="X517">
        <v>0.0</v>
      </c>
      <c r="Y517">
        <v>0.0</v>
      </c>
      <c r="Z517">
        <v>0.0</v>
      </c>
      <c r="AA517">
        <v>0.0</v>
      </c>
      <c r="AB517">
        <v>0.0</v>
      </c>
      <c r="AC517">
        <v>0.0</v>
      </c>
      <c r="AD517">
        <v>0.0</v>
      </c>
    </row>
    <row r="518" spans="1:33">
      <c r="A518" t="s">
        <v>1359</v>
      </c>
      <c r="B518" t="s">
        <v>1360</v>
      </c>
      <c r="C518" t="s">
        <v>35</v>
      </c>
      <c r="D518" t="s">
        <v>228</v>
      </c>
      <c r="E518" t="s">
        <v>37</v>
      </c>
      <c r="F518" t="s">
        <v>113</v>
      </c>
      <c r="G518" t="s">
        <v>37</v>
      </c>
      <c r="J518" t="s">
        <v>51</v>
      </c>
      <c r="K518">
        <v>486933</v>
      </c>
      <c r="M518">
        <v>22.52</v>
      </c>
      <c r="N518" t="s">
        <v>169</v>
      </c>
      <c r="W518">
        <v>0.0</v>
      </c>
      <c r="X518">
        <v>0.0</v>
      </c>
      <c r="Y518">
        <v>0.0</v>
      </c>
      <c r="Z518">
        <v>0.0</v>
      </c>
      <c r="AA518">
        <v>0.0</v>
      </c>
      <c r="AB518">
        <v>0.0</v>
      </c>
      <c r="AC518">
        <v>0.0</v>
      </c>
      <c r="AD518">
        <v>0.0</v>
      </c>
    </row>
    <row r="519" spans="1:33">
      <c r="A519" t="s">
        <v>1361</v>
      </c>
      <c r="B519" t="s">
        <v>1362</v>
      </c>
      <c r="C519" t="s">
        <v>35</v>
      </c>
      <c r="D519" t="s">
        <v>228</v>
      </c>
      <c r="E519" t="s">
        <v>37</v>
      </c>
      <c r="F519" t="s">
        <v>37</v>
      </c>
      <c r="G519" t="s">
        <v>37</v>
      </c>
      <c r="J519" t="s">
        <v>62</v>
      </c>
      <c r="K519">
        <v>24529668</v>
      </c>
      <c r="M519">
        <v>54.86</v>
      </c>
      <c r="P519" t="s">
        <v>87</v>
      </c>
      <c r="R519" t="s">
        <v>48</v>
      </c>
      <c r="W519">
        <v>0.0</v>
      </c>
      <c r="X519">
        <v>0.0</v>
      </c>
      <c r="Y519">
        <v>0.0</v>
      </c>
      <c r="Z519">
        <v>0.0</v>
      </c>
      <c r="AA519">
        <v>0.0</v>
      </c>
      <c r="AB519">
        <v>0.0</v>
      </c>
      <c r="AC519">
        <v>0.0</v>
      </c>
      <c r="AD519">
        <v>0.0</v>
      </c>
    </row>
    <row r="520" spans="1:33">
      <c r="A520" t="s">
        <v>1363</v>
      </c>
      <c r="B520" t="s">
        <v>1364</v>
      </c>
      <c r="C520" t="s">
        <v>35</v>
      </c>
      <c r="D520" t="s">
        <v>36</v>
      </c>
      <c r="E520" t="s">
        <v>37</v>
      </c>
      <c r="F520" t="s">
        <v>37</v>
      </c>
      <c r="G520" t="s">
        <v>37</v>
      </c>
      <c r="J520" t="s">
        <v>478</v>
      </c>
      <c r="K520">
        <v>24529668</v>
      </c>
      <c r="M520">
        <v>69.9</v>
      </c>
      <c r="S520">
        <v>50</v>
      </c>
      <c r="T520">
        <v>1</v>
      </c>
      <c r="U520">
        <v>50</v>
      </c>
      <c r="V520">
        <v>1</v>
      </c>
      <c r="W520">
        <v>0.0</v>
      </c>
      <c r="X520">
        <v>0.0</v>
      </c>
      <c r="Y520">
        <v>0.0</v>
      </c>
      <c r="Z520">
        <v>0.0</v>
      </c>
      <c r="AA520">
        <v>0.0</v>
      </c>
      <c r="AB520">
        <v>0.0</v>
      </c>
      <c r="AC520">
        <v>0.0</v>
      </c>
      <c r="AD520">
        <v>0.0</v>
      </c>
    </row>
    <row r="521" spans="1:33">
      <c r="A521" t="s">
        <v>1365</v>
      </c>
      <c r="B521" t="s">
        <v>1366</v>
      </c>
      <c r="C521" t="s">
        <v>35</v>
      </c>
      <c r="D521" t="s">
        <v>228</v>
      </c>
      <c r="E521" t="s">
        <v>37</v>
      </c>
      <c r="F521" t="s">
        <v>37</v>
      </c>
      <c r="G521" t="s">
        <v>37</v>
      </c>
      <c r="H521">
        <v>2</v>
      </c>
      <c r="J521" t="s">
        <v>51</v>
      </c>
      <c r="K521">
        <v>24529668</v>
      </c>
      <c r="M521">
        <v>69.9</v>
      </c>
    </row>
    <row r="522" spans="1:33">
      <c r="A522" t="s">
        <v>1367</v>
      </c>
      <c r="B522" t="s">
        <v>1368</v>
      </c>
      <c r="C522" t="s">
        <v>35</v>
      </c>
      <c r="D522" t="s">
        <v>36</v>
      </c>
      <c r="E522" t="s">
        <v>37</v>
      </c>
      <c r="F522" t="s">
        <v>37</v>
      </c>
      <c r="G522" t="s">
        <v>37</v>
      </c>
      <c r="J522" t="s">
        <v>72</v>
      </c>
      <c r="K522" t="s">
        <v>1369</v>
      </c>
      <c r="M522">
        <v>51.35</v>
      </c>
      <c r="P522" t="s">
        <v>46</v>
      </c>
    </row>
    <row r="523" spans="1:33">
      <c r="A523" t="s">
        <v>1370</v>
      </c>
      <c r="B523" t="s">
        <v>1371</v>
      </c>
      <c r="C523" t="s">
        <v>35</v>
      </c>
      <c r="D523" t="s">
        <v>36</v>
      </c>
      <c r="E523" t="s">
        <v>37</v>
      </c>
      <c r="F523" t="s">
        <v>37</v>
      </c>
      <c r="G523" t="s">
        <v>37</v>
      </c>
      <c r="J523" t="s">
        <v>76</v>
      </c>
      <c r="K523" t="s">
        <v>1372</v>
      </c>
      <c r="M523">
        <v>198.29</v>
      </c>
      <c r="P523" t="s">
        <v>46</v>
      </c>
    </row>
    <row r="524" spans="1:33">
      <c r="A524" t="s">
        <v>1373</v>
      </c>
      <c r="B524" t="s">
        <v>1374</v>
      </c>
      <c r="C524" t="s">
        <v>35</v>
      </c>
      <c r="D524" t="s">
        <v>36</v>
      </c>
      <c r="E524" t="s">
        <v>37</v>
      </c>
      <c r="F524" t="s">
        <v>113</v>
      </c>
      <c r="G524" t="s">
        <v>37</v>
      </c>
      <c r="H524">
        <v>1</v>
      </c>
      <c r="J524" t="s">
        <v>72</v>
      </c>
      <c r="K524" t="s">
        <v>1375</v>
      </c>
      <c r="M524">
        <v>1.34</v>
      </c>
      <c r="N524" t="s">
        <v>169</v>
      </c>
      <c r="S524">
        <v>5000</v>
      </c>
      <c r="T524">
        <v>1</v>
      </c>
      <c r="U524">
        <v>5000</v>
      </c>
      <c r="V524">
        <v>1</v>
      </c>
      <c r="W524">
        <v>0.0</v>
      </c>
      <c r="X524">
        <v>0.0</v>
      </c>
      <c r="Y524">
        <v>0.0</v>
      </c>
      <c r="Z524">
        <v>0.0</v>
      </c>
      <c r="AA524">
        <v>0.0</v>
      </c>
      <c r="AB524">
        <v>0.0</v>
      </c>
      <c r="AC524">
        <v>0.0</v>
      </c>
      <c r="AD524">
        <v>0.0</v>
      </c>
    </row>
    <row r="525" spans="1:33">
      <c r="A525" t="s">
        <v>1376</v>
      </c>
      <c r="B525" t="s">
        <v>1377</v>
      </c>
      <c r="C525" t="s">
        <v>35</v>
      </c>
      <c r="D525" t="s">
        <v>36</v>
      </c>
      <c r="E525" t="s">
        <v>37</v>
      </c>
      <c r="F525" t="s">
        <v>113</v>
      </c>
      <c r="G525" t="s">
        <v>37</v>
      </c>
      <c r="H525">
        <v>1</v>
      </c>
      <c r="J525" t="s">
        <v>478</v>
      </c>
      <c r="K525">
        <v>477900</v>
      </c>
      <c r="M525">
        <v>1.8</v>
      </c>
      <c r="N525" t="s">
        <v>169</v>
      </c>
      <c r="S525">
        <v>5000</v>
      </c>
      <c r="T525">
        <v>1</v>
      </c>
      <c r="U525">
        <v>5000</v>
      </c>
      <c r="V525">
        <v>1</v>
      </c>
      <c r="W525">
        <v>0.0</v>
      </c>
      <c r="X525">
        <v>0.0</v>
      </c>
      <c r="Y525">
        <v>0.0</v>
      </c>
      <c r="Z525">
        <v>0.0</v>
      </c>
      <c r="AA525">
        <v>0.0</v>
      </c>
      <c r="AB525">
        <v>0.0</v>
      </c>
      <c r="AC525">
        <v>0.0</v>
      </c>
      <c r="AD525">
        <v>0.0</v>
      </c>
    </row>
    <row r="526" spans="1:33">
      <c r="A526" t="s">
        <v>1378</v>
      </c>
      <c r="B526" t="s">
        <v>1379</v>
      </c>
      <c r="C526" t="s">
        <v>35</v>
      </c>
      <c r="D526" t="s">
        <v>36</v>
      </c>
      <c r="E526" t="s">
        <v>37</v>
      </c>
      <c r="F526" t="s">
        <v>113</v>
      </c>
      <c r="G526" t="s">
        <v>37</v>
      </c>
      <c r="J526" t="s">
        <v>51</v>
      </c>
      <c r="K526">
        <v>477900</v>
      </c>
      <c r="M526">
        <v>1.8</v>
      </c>
      <c r="N526" t="s">
        <v>169</v>
      </c>
      <c r="W526">
        <v>0.0</v>
      </c>
      <c r="X526">
        <v>0.0</v>
      </c>
      <c r="Y526">
        <v>0.0</v>
      </c>
      <c r="Z526">
        <v>0.0</v>
      </c>
      <c r="AA526">
        <v>0.0</v>
      </c>
      <c r="AB526">
        <v>0.0</v>
      </c>
      <c r="AC526">
        <v>0.0</v>
      </c>
      <c r="AD526">
        <v>0.0</v>
      </c>
    </row>
    <row r="527" spans="1:33">
      <c r="A527" t="s">
        <v>1380</v>
      </c>
      <c r="B527" t="s">
        <v>1381</v>
      </c>
      <c r="C527" t="s">
        <v>35</v>
      </c>
      <c r="D527" t="s">
        <v>36</v>
      </c>
      <c r="E527" t="s">
        <v>37</v>
      </c>
      <c r="F527" t="s">
        <v>113</v>
      </c>
      <c r="G527" t="s">
        <v>37</v>
      </c>
      <c r="J527" t="s">
        <v>76</v>
      </c>
      <c r="K527">
        <v>250060</v>
      </c>
      <c r="M527">
        <v>1.63</v>
      </c>
      <c r="N527" t="s">
        <v>169</v>
      </c>
      <c r="P527" t="s">
        <v>46</v>
      </c>
    </row>
    <row r="528" spans="1:33">
      <c r="A528" t="s">
        <v>1382</v>
      </c>
      <c r="B528" t="s">
        <v>1383</v>
      </c>
      <c r="C528" t="s">
        <v>35</v>
      </c>
      <c r="D528" t="s">
        <v>1384</v>
      </c>
      <c r="E528" t="s">
        <v>37</v>
      </c>
      <c r="F528" t="s">
        <v>37</v>
      </c>
      <c r="G528" t="s">
        <v>37</v>
      </c>
      <c r="J528" t="s">
        <v>72</v>
      </c>
      <c r="N528" t="s">
        <v>169</v>
      </c>
      <c r="S528">
        <v>5</v>
      </c>
      <c r="T528">
        <v>1</v>
      </c>
      <c r="U528">
        <v>5</v>
      </c>
      <c r="V528">
        <v>1</v>
      </c>
      <c r="W528">
        <v>0.0</v>
      </c>
      <c r="X528">
        <v>0.0</v>
      </c>
      <c r="Y528">
        <v>0.0</v>
      </c>
      <c r="Z528">
        <v>0.0</v>
      </c>
      <c r="AA528">
        <v>0.0</v>
      </c>
      <c r="AB528">
        <v>0.0</v>
      </c>
      <c r="AC528">
        <v>0.0</v>
      </c>
      <c r="AD528">
        <v>0.0</v>
      </c>
    </row>
    <row r="529" spans="1:33">
      <c r="A529" t="s">
        <v>1385</v>
      </c>
      <c r="B529" t="s">
        <v>1386</v>
      </c>
      <c r="C529" t="s">
        <v>35</v>
      </c>
      <c r="D529" t="s">
        <v>1384</v>
      </c>
      <c r="E529" t="s">
        <v>37</v>
      </c>
      <c r="F529" t="s">
        <v>37</v>
      </c>
      <c r="G529" t="s">
        <v>37</v>
      </c>
      <c r="J529" t="s">
        <v>72</v>
      </c>
      <c r="N529" t="s">
        <v>169</v>
      </c>
      <c r="W529">
        <v>0.0</v>
      </c>
      <c r="X529">
        <v>0.0</v>
      </c>
      <c r="Y529">
        <v>0.0</v>
      </c>
      <c r="Z529">
        <v>0.0</v>
      </c>
      <c r="AA529">
        <v>0.0</v>
      </c>
      <c r="AB529">
        <v>0.0</v>
      </c>
      <c r="AC529">
        <v>0.0</v>
      </c>
      <c r="AD529">
        <v>0.0</v>
      </c>
    </row>
    <row r="530" spans="1:33">
      <c r="A530" t="s">
        <v>1387</v>
      </c>
      <c r="B530" t="s">
        <v>1388</v>
      </c>
      <c r="C530" t="s">
        <v>35</v>
      </c>
      <c r="D530" t="s">
        <v>1384</v>
      </c>
      <c r="E530" t="s">
        <v>37</v>
      </c>
      <c r="F530" t="s">
        <v>37</v>
      </c>
      <c r="G530" t="s">
        <v>37</v>
      </c>
      <c r="J530" t="s">
        <v>72</v>
      </c>
      <c r="N530" t="s">
        <v>169</v>
      </c>
    </row>
    <row r="531" spans="1:33">
      <c r="A531" t="s">
        <v>1389</v>
      </c>
      <c r="B531" t="s">
        <v>1390</v>
      </c>
      <c r="C531" t="s">
        <v>35</v>
      </c>
      <c r="D531" t="s">
        <v>1384</v>
      </c>
      <c r="E531" t="s">
        <v>37</v>
      </c>
      <c r="F531" t="s">
        <v>37</v>
      </c>
      <c r="G531" t="s">
        <v>37</v>
      </c>
      <c r="J531" t="s">
        <v>72</v>
      </c>
      <c r="N531" t="s">
        <v>169</v>
      </c>
    </row>
    <row r="532" spans="1:33">
      <c r="A532" t="s">
        <v>1391</v>
      </c>
      <c r="B532" t="s">
        <v>1392</v>
      </c>
      <c r="C532" t="s">
        <v>35</v>
      </c>
      <c r="D532" t="s">
        <v>1384</v>
      </c>
      <c r="E532" t="s">
        <v>37</v>
      </c>
      <c r="F532" t="s">
        <v>37</v>
      </c>
      <c r="G532" t="s">
        <v>37</v>
      </c>
      <c r="J532" t="s">
        <v>72</v>
      </c>
      <c r="N532" t="s">
        <v>169</v>
      </c>
      <c r="W532">
        <v>0.0</v>
      </c>
      <c r="X532">
        <v>0.0</v>
      </c>
      <c r="Y532">
        <v>0.0</v>
      </c>
      <c r="Z532">
        <v>0.0</v>
      </c>
      <c r="AA532">
        <v>0.0</v>
      </c>
      <c r="AB532">
        <v>0.0</v>
      </c>
      <c r="AC532">
        <v>0.0</v>
      </c>
      <c r="AD532">
        <v>0.0</v>
      </c>
    </row>
    <row r="533" spans="1:33">
      <c r="A533" t="s">
        <v>1393</v>
      </c>
      <c r="B533" t="s">
        <v>1394</v>
      </c>
      <c r="C533" t="s">
        <v>35</v>
      </c>
      <c r="D533" t="s">
        <v>1384</v>
      </c>
      <c r="E533" t="s">
        <v>37</v>
      </c>
      <c r="F533" t="s">
        <v>37</v>
      </c>
      <c r="G533" t="s">
        <v>37</v>
      </c>
      <c r="J533" t="s">
        <v>72</v>
      </c>
      <c r="N533" t="s">
        <v>169</v>
      </c>
      <c r="W533">
        <v>0.0</v>
      </c>
      <c r="X533">
        <v>0.0</v>
      </c>
      <c r="Y533">
        <v>0.0</v>
      </c>
      <c r="Z533">
        <v>0.0</v>
      </c>
      <c r="AA533">
        <v>0.0</v>
      </c>
      <c r="AB533">
        <v>0.0</v>
      </c>
      <c r="AC533">
        <v>0.0</v>
      </c>
      <c r="AD533">
        <v>0.0</v>
      </c>
    </row>
    <row r="534" spans="1:33">
      <c r="A534" t="s">
        <v>1395</v>
      </c>
      <c r="B534" t="s">
        <v>1396</v>
      </c>
      <c r="C534" t="s">
        <v>35</v>
      </c>
      <c r="D534" t="s">
        <v>1384</v>
      </c>
      <c r="E534" t="s">
        <v>37</v>
      </c>
      <c r="F534" t="s">
        <v>37</v>
      </c>
      <c r="G534" t="s">
        <v>37</v>
      </c>
      <c r="J534" t="s">
        <v>72</v>
      </c>
      <c r="N534" t="s">
        <v>169</v>
      </c>
    </row>
    <row r="535" spans="1:33">
      <c r="A535" t="s">
        <v>1397</v>
      </c>
      <c r="B535" t="s">
        <v>1398</v>
      </c>
      <c r="C535" t="s">
        <v>35</v>
      </c>
      <c r="D535" t="s">
        <v>1384</v>
      </c>
      <c r="E535" t="s">
        <v>37</v>
      </c>
      <c r="F535" t="s">
        <v>37</v>
      </c>
      <c r="G535" t="s">
        <v>37</v>
      </c>
      <c r="J535" t="s">
        <v>72</v>
      </c>
      <c r="N535" t="s">
        <v>169</v>
      </c>
    </row>
    <row r="536" spans="1:33">
      <c r="A536" t="s">
        <v>1399</v>
      </c>
      <c r="B536" t="s">
        <v>1400</v>
      </c>
      <c r="C536" t="s">
        <v>35</v>
      </c>
      <c r="D536" t="s">
        <v>1384</v>
      </c>
      <c r="E536" t="s">
        <v>37</v>
      </c>
      <c r="F536" t="s">
        <v>37</v>
      </c>
      <c r="G536" t="s">
        <v>37</v>
      </c>
      <c r="J536" t="s">
        <v>72</v>
      </c>
      <c r="N536" t="s">
        <v>169</v>
      </c>
    </row>
    <row r="537" spans="1:33">
      <c r="A537" t="s">
        <v>1401</v>
      </c>
      <c r="B537" t="s">
        <v>1402</v>
      </c>
      <c r="C537" t="s">
        <v>35</v>
      </c>
      <c r="D537" t="s">
        <v>1384</v>
      </c>
      <c r="E537" t="s">
        <v>37</v>
      </c>
      <c r="F537" t="s">
        <v>37</v>
      </c>
      <c r="G537" t="s">
        <v>37</v>
      </c>
      <c r="J537" t="s">
        <v>72</v>
      </c>
      <c r="N537" t="s">
        <v>169</v>
      </c>
    </row>
    <row r="538" spans="1:33">
      <c r="A538" t="s">
        <v>1403</v>
      </c>
      <c r="B538" t="s">
        <v>1404</v>
      </c>
      <c r="C538" t="s">
        <v>35</v>
      </c>
      <c r="D538" t="s">
        <v>1384</v>
      </c>
      <c r="E538" t="s">
        <v>37</v>
      </c>
      <c r="F538" t="s">
        <v>37</v>
      </c>
      <c r="G538" t="s">
        <v>37</v>
      </c>
      <c r="J538" t="s">
        <v>72</v>
      </c>
      <c r="N538" t="s">
        <v>169</v>
      </c>
    </row>
    <row r="539" spans="1:33">
      <c r="A539" t="s">
        <v>1405</v>
      </c>
      <c r="B539" t="s">
        <v>1406</v>
      </c>
      <c r="C539" t="s">
        <v>35</v>
      </c>
      <c r="D539" t="s">
        <v>1384</v>
      </c>
      <c r="E539" t="s">
        <v>37</v>
      </c>
      <c r="F539" t="s">
        <v>37</v>
      </c>
      <c r="G539" t="s">
        <v>37</v>
      </c>
      <c r="J539" t="s">
        <v>72</v>
      </c>
      <c r="N539" t="s">
        <v>169</v>
      </c>
    </row>
    <row r="540" spans="1:33">
      <c r="A540" t="s">
        <v>1407</v>
      </c>
      <c r="B540" t="s">
        <v>1408</v>
      </c>
      <c r="C540" t="s">
        <v>35</v>
      </c>
      <c r="D540" t="s">
        <v>1384</v>
      </c>
      <c r="E540" t="s">
        <v>37</v>
      </c>
      <c r="F540" t="s">
        <v>37</v>
      </c>
      <c r="G540" t="s">
        <v>37</v>
      </c>
      <c r="J540" t="s">
        <v>72</v>
      </c>
      <c r="N540" t="s">
        <v>169</v>
      </c>
    </row>
    <row r="541" spans="1:33">
      <c r="A541" t="s">
        <v>1409</v>
      </c>
      <c r="B541" t="s">
        <v>1410</v>
      </c>
      <c r="C541" t="s">
        <v>35</v>
      </c>
      <c r="D541" t="s">
        <v>1384</v>
      </c>
      <c r="E541" t="s">
        <v>37</v>
      </c>
      <c r="F541" t="s">
        <v>37</v>
      </c>
      <c r="G541" t="s">
        <v>37</v>
      </c>
      <c r="J541" t="s">
        <v>72</v>
      </c>
      <c r="N541" t="s">
        <v>169</v>
      </c>
    </row>
    <row r="542" spans="1:33">
      <c r="A542" t="s">
        <v>1411</v>
      </c>
      <c r="B542" t="s">
        <v>1412</v>
      </c>
      <c r="C542" t="s">
        <v>35</v>
      </c>
      <c r="D542" t="s">
        <v>1384</v>
      </c>
      <c r="E542" t="s">
        <v>37</v>
      </c>
      <c r="F542" t="s">
        <v>37</v>
      </c>
      <c r="G542" t="s">
        <v>37</v>
      </c>
      <c r="J542" t="s">
        <v>76</v>
      </c>
      <c r="N542" t="s">
        <v>169</v>
      </c>
      <c r="U542">
        <v>2</v>
      </c>
      <c r="V542">
        <v>1</v>
      </c>
      <c r="W542">
        <v>0.0</v>
      </c>
      <c r="X542">
        <v>0.0</v>
      </c>
      <c r="Y542">
        <v>0.0</v>
      </c>
      <c r="Z542">
        <v>0.0</v>
      </c>
      <c r="AA542">
        <v>0.0</v>
      </c>
      <c r="AB542">
        <v>0.0</v>
      </c>
      <c r="AC542">
        <v>0.0</v>
      </c>
      <c r="AD542">
        <v>0.0</v>
      </c>
    </row>
    <row r="543" spans="1:33">
      <c r="A543" t="s">
        <v>1413</v>
      </c>
      <c r="B543" t="s">
        <v>1414</v>
      </c>
      <c r="C543" t="s">
        <v>35</v>
      </c>
      <c r="D543" t="s">
        <v>36</v>
      </c>
      <c r="E543" t="s">
        <v>37</v>
      </c>
      <c r="F543" t="s">
        <v>113</v>
      </c>
      <c r="G543" t="s">
        <v>37</v>
      </c>
      <c r="J543" t="s">
        <v>62</v>
      </c>
      <c r="K543" t="s">
        <v>1415</v>
      </c>
      <c r="M543">
        <v>5.47</v>
      </c>
      <c r="N543" t="s">
        <v>169</v>
      </c>
      <c r="P543" t="s">
        <v>87</v>
      </c>
      <c r="R543" t="s">
        <v>399</v>
      </c>
      <c r="W543">
        <v>0.0</v>
      </c>
      <c r="X543">
        <v>0.0</v>
      </c>
      <c r="Y543">
        <v>0.0</v>
      </c>
      <c r="Z543">
        <v>0.0</v>
      </c>
      <c r="AA543">
        <v>0.0</v>
      </c>
      <c r="AB543">
        <v>0.0</v>
      </c>
      <c r="AC543">
        <v>0.0</v>
      </c>
      <c r="AD543">
        <v>0.0</v>
      </c>
    </row>
    <row r="544" spans="1:33">
      <c r="A544" t="s">
        <v>1416</v>
      </c>
      <c r="B544" t="s">
        <v>1417</v>
      </c>
      <c r="C544" t="s">
        <v>35</v>
      </c>
      <c r="D544" t="s">
        <v>36</v>
      </c>
      <c r="E544" t="s">
        <v>37</v>
      </c>
      <c r="F544" t="s">
        <v>113</v>
      </c>
      <c r="G544" t="s">
        <v>37</v>
      </c>
      <c r="J544" t="s">
        <v>62</v>
      </c>
      <c r="M544">
        <v>4.61</v>
      </c>
      <c r="N544" t="s">
        <v>169</v>
      </c>
      <c r="R544" t="s">
        <v>48</v>
      </c>
      <c r="W544">
        <v>0.0</v>
      </c>
      <c r="X544">
        <v>0.0</v>
      </c>
      <c r="Y544">
        <v>0.0</v>
      </c>
      <c r="Z544">
        <v>0.0</v>
      </c>
      <c r="AA544">
        <v>0.0</v>
      </c>
      <c r="AB544">
        <v>0.0</v>
      </c>
      <c r="AC544">
        <v>0.0</v>
      </c>
      <c r="AD544">
        <v>0.0</v>
      </c>
    </row>
    <row r="545" spans="1:33">
      <c r="A545" t="s">
        <v>1418</v>
      </c>
      <c r="B545" t="s">
        <v>1419</v>
      </c>
      <c r="C545" t="s">
        <v>35</v>
      </c>
      <c r="D545" t="s">
        <v>36</v>
      </c>
      <c r="E545" t="s">
        <v>37</v>
      </c>
      <c r="F545" t="s">
        <v>113</v>
      </c>
      <c r="G545" t="s">
        <v>37</v>
      </c>
      <c r="J545" t="s">
        <v>72</v>
      </c>
      <c r="K545" t="s">
        <v>1420</v>
      </c>
      <c r="M545">
        <v>6.07</v>
      </c>
      <c r="N545" t="s">
        <v>169</v>
      </c>
      <c r="S545">
        <v>2500</v>
      </c>
      <c r="T545">
        <v>1</v>
      </c>
      <c r="U545">
        <v>2500</v>
      </c>
      <c r="V545">
        <v>1</v>
      </c>
      <c r="W545">
        <v>0.0</v>
      </c>
      <c r="X545">
        <v>0.0</v>
      </c>
      <c r="Y545">
        <v>0.0</v>
      </c>
      <c r="Z545">
        <v>0.0</v>
      </c>
      <c r="AA545">
        <v>0.0</v>
      </c>
      <c r="AB545">
        <v>0.0</v>
      </c>
      <c r="AC545">
        <v>0.0</v>
      </c>
      <c r="AD545">
        <v>0.0</v>
      </c>
    </row>
    <row r="546" spans="1:33">
      <c r="A546" t="s">
        <v>1421</v>
      </c>
      <c r="B546" t="s">
        <v>1422</v>
      </c>
      <c r="C546" t="s">
        <v>35</v>
      </c>
      <c r="D546" t="s">
        <v>36</v>
      </c>
      <c r="E546" t="s">
        <v>37</v>
      </c>
      <c r="F546" t="s">
        <v>113</v>
      </c>
      <c r="G546" t="s">
        <v>37</v>
      </c>
      <c r="J546" t="s">
        <v>478</v>
      </c>
      <c r="K546">
        <v>595705</v>
      </c>
      <c r="M546">
        <v>5.47</v>
      </c>
      <c r="N546" t="s">
        <v>169</v>
      </c>
      <c r="S546">
        <v>2500</v>
      </c>
      <c r="T546">
        <v>1</v>
      </c>
      <c r="U546">
        <v>2500</v>
      </c>
      <c r="V546">
        <v>1</v>
      </c>
      <c r="W546">
        <v>0.0</v>
      </c>
      <c r="X546">
        <v>0.0</v>
      </c>
      <c r="Y546">
        <v>0.0</v>
      </c>
      <c r="Z546">
        <v>0.0</v>
      </c>
      <c r="AA546">
        <v>0.0</v>
      </c>
      <c r="AB546">
        <v>0.0</v>
      </c>
      <c r="AC546">
        <v>0.0</v>
      </c>
      <c r="AD546">
        <v>0.0</v>
      </c>
    </row>
    <row r="547" spans="1:33">
      <c r="A547" t="s">
        <v>1423</v>
      </c>
      <c r="B547" t="s">
        <v>1424</v>
      </c>
      <c r="C547" t="s">
        <v>35</v>
      </c>
      <c r="D547" t="s">
        <v>36</v>
      </c>
      <c r="E547" t="s">
        <v>37</v>
      </c>
      <c r="F547" t="s">
        <v>113</v>
      </c>
      <c r="G547" t="s">
        <v>37</v>
      </c>
      <c r="J547" t="s">
        <v>51</v>
      </c>
      <c r="K547">
        <v>595705</v>
      </c>
      <c r="M547">
        <v>5.47</v>
      </c>
      <c r="P547" t="s">
        <v>46</v>
      </c>
      <c r="W547">
        <v>0.0</v>
      </c>
      <c r="X547">
        <v>0.0</v>
      </c>
      <c r="Y547">
        <v>0.0</v>
      </c>
      <c r="Z547">
        <v>0.0</v>
      </c>
      <c r="AA547">
        <v>0.0</v>
      </c>
      <c r="AB547">
        <v>0.0</v>
      </c>
      <c r="AC547">
        <v>0.0</v>
      </c>
      <c r="AD547">
        <v>0.0</v>
      </c>
    </row>
    <row r="548" spans="1:33">
      <c r="A548" t="s">
        <v>1425</v>
      </c>
      <c r="B548" t="s">
        <v>1426</v>
      </c>
      <c r="C548" t="s">
        <v>35</v>
      </c>
      <c r="D548" t="s">
        <v>36</v>
      </c>
      <c r="E548" t="s">
        <v>37</v>
      </c>
      <c r="F548" t="s">
        <v>113</v>
      </c>
      <c r="G548" t="s">
        <v>37</v>
      </c>
      <c r="J548" t="s">
        <v>76</v>
      </c>
      <c r="K548">
        <v>1596002</v>
      </c>
      <c r="M548">
        <v>0.76</v>
      </c>
      <c r="P548" t="s">
        <v>46</v>
      </c>
      <c r="W548">
        <v>0.0</v>
      </c>
      <c r="X548">
        <v>0.0</v>
      </c>
      <c r="Y548">
        <v>0.0</v>
      </c>
      <c r="Z548">
        <v>0.0</v>
      </c>
      <c r="AA548">
        <v>0.0</v>
      </c>
      <c r="AB548">
        <v>0.0</v>
      </c>
      <c r="AC548">
        <v>0.0</v>
      </c>
      <c r="AD548">
        <v>0.0</v>
      </c>
    </row>
    <row r="549" spans="1:33">
      <c r="A549" t="s">
        <v>1427</v>
      </c>
      <c r="B549" t="s">
        <v>1428</v>
      </c>
      <c r="C549" t="s">
        <v>35</v>
      </c>
      <c r="D549" t="s">
        <v>228</v>
      </c>
      <c r="E549" t="s">
        <v>37</v>
      </c>
      <c r="F549" t="s">
        <v>113</v>
      </c>
      <c r="G549" t="s">
        <v>37</v>
      </c>
      <c r="J549" t="s">
        <v>62</v>
      </c>
      <c r="K549">
        <v>596039</v>
      </c>
      <c r="M549">
        <v>7.11</v>
      </c>
      <c r="N549" t="s">
        <v>169</v>
      </c>
      <c r="R549" t="s">
        <v>1429</v>
      </c>
      <c r="W549">
        <v>0.0</v>
      </c>
      <c r="X549">
        <v>0.0</v>
      </c>
      <c r="Y549">
        <v>0.0</v>
      </c>
      <c r="Z549">
        <v>0.0</v>
      </c>
      <c r="AA549">
        <v>0.0</v>
      </c>
      <c r="AB549">
        <v>0.0</v>
      </c>
      <c r="AC549">
        <v>0.0</v>
      </c>
      <c r="AD549">
        <v>0.0</v>
      </c>
    </row>
    <row r="550" spans="1:33">
      <c r="A550" t="s">
        <v>1430</v>
      </c>
      <c r="B550" t="s">
        <v>1428</v>
      </c>
      <c r="C550" t="s">
        <v>35</v>
      </c>
      <c r="D550" t="s">
        <v>228</v>
      </c>
      <c r="E550" t="s">
        <v>37</v>
      </c>
      <c r="F550" t="s">
        <v>113</v>
      </c>
      <c r="G550" t="s">
        <v>37</v>
      </c>
      <c r="H550">
        <v>10</v>
      </c>
      <c r="J550" t="s">
        <v>72</v>
      </c>
      <c r="K550" t="s">
        <v>1431</v>
      </c>
      <c r="M550">
        <v>4.77</v>
      </c>
      <c r="N550" t="s">
        <v>169</v>
      </c>
      <c r="S550">
        <v>5000</v>
      </c>
      <c r="T550">
        <v>1</v>
      </c>
      <c r="U550">
        <v>5000</v>
      </c>
      <c r="V550">
        <v>1</v>
      </c>
      <c r="W550">
        <v>0.0</v>
      </c>
      <c r="X550">
        <v>0.0</v>
      </c>
      <c r="Y550">
        <v>0.0</v>
      </c>
      <c r="Z550">
        <v>0.0</v>
      </c>
      <c r="AA550">
        <v>0.0</v>
      </c>
      <c r="AB550">
        <v>0.0</v>
      </c>
      <c r="AC550">
        <v>0.0</v>
      </c>
      <c r="AD550">
        <v>0.0</v>
      </c>
    </row>
    <row r="551" spans="1:33">
      <c r="A551" t="s">
        <v>1432</v>
      </c>
      <c r="B551" t="s">
        <v>1433</v>
      </c>
      <c r="C551" t="s">
        <v>35</v>
      </c>
      <c r="D551" t="s">
        <v>228</v>
      </c>
      <c r="E551" t="s">
        <v>37</v>
      </c>
      <c r="F551" t="s">
        <v>113</v>
      </c>
      <c r="G551" t="s">
        <v>37</v>
      </c>
      <c r="J551" t="s">
        <v>478</v>
      </c>
      <c r="K551">
        <v>596039</v>
      </c>
      <c r="M551">
        <v>3.99</v>
      </c>
      <c r="N551" t="s">
        <v>169</v>
      </c>
      <c r="S551">
        <v>5000</v>
      </c>
      <c r="T551">
        <v>1</v>
      </c>
      <c r="U551">
        <v>5000</v>
      </c>
      <c r="V551">
        <v>1</v>
      </c>
      <c r="W551">
        <v>0.0</v>
      </c>
      <c r="X551">
        <v>0.0</v>
      </c>
      <c r="Y551">
        <v>0.0</v>
      </c>
      <c r="Z551">
        <v>0.0</v>
      </c>
      <c r="AA551">
        <v>0.0</v>
      </c>
      <c r="AB551">
        <v>0.0</v>
      </c>
      <c r="AC551">
        <v>0.0</v>
      </c>
      <c r="AD551">
        <v>0.0</v>
      </c>
    </row>
    <row r="552" spans="1:33">
      <c r="A552" t="s">
        <v>1434</v>
      </c>
      <c r="B552" t="s">
        <v>1435</v>
      </c>
      <c r="C552" t="s">
        <v>35</v>
      </c>
      <c r="D552" t="s">
        <v>228</v>
      </c>
      <c r="E552" t="s">
        <v>37</v>
      </c>
      <c r="F552" t="s">
        <v>113</v>
      </c>
      <c r="G552" t="s">
        <v>37</v>
      </c>
      <c r="J552" t="s">
        <v>76</v>
      </c>
      <c r="K552">
        <v>1596003</v>
      </c>
      <c r="M552">
        <v>1.05</v>
      </c>
      <c r="P552" t="s">
        <v>46</v>
      </c>
      <c r="W552">
        <v>0.0</v>
      </c>
      <c r="X552">
        <v>0.0</v>
      </c>
      <c r="Y552">
        <v>0.0</v>
      </c>
      <c r="Z552">
        <v>0.0</v>
      </c>
      <c r="AA552">
        <v>0.0</v>
      </c>
      <c r="AB552">
        <v>0.0</v>
      </c>
      <c r="AC552">
        <v>0.0</v>
      </c>
      <c r="AD552">
        <v>0.0</v>
      </c>
    </row>
    <row r="553" spans="1:33">
      <c r="A553" t="s">
        <v>1436</v>
      </c>
      <c r="B553" t="s">
        <v>1437</v>
      </c>
      <c r="C553" t="s">
        <v>35</v>
      </c>
      <c r="D553" t="s">
        <v>228</v>
      </c>
      <c r="E553" t="s">
        <v>37</v>
      </c>
      <c r="F553" t="s">
        <v>113</v>
      </c>
      <c r="G553" t="s">
        <v>37</v>
      </c>
      <c r="J553" t="s">
        <v>51</v>
      </c>
      <c r="K553">
        <v>596039</v>
      </c>
      <c r="M553">
        <v>3.99</v>
      </c>
      <c r="P553" t="s">
        <v>46</v>
      </c>
      <c r="W553">
        <v>0.0</v>
      </c>
      <c r="X553">
        <v>0.0</v>
      </c>
      <c r="Y553">
        <v>0.0</v>
      </c>
      <c r="Z553">
        <v>0.0</v>
      </c>
      <c r="AA553">
        <v>0.0</v>
      </c>
      <c r="AB553">
        <v>0.0</v>
      </c>
      <c r="AC553">
        <v>0.0</v>
      </c>
      <c r="AD553">
        <v>0.0</v>
      </c>
    </row>
    <row r="554" spans="1:33">
      <c r="A554" t="s">
        <v>1438</v>
      </c>
      <c r="B554" t="s">
        <v>1439</v>
      </c>
      <c r="C554" t="s">
        <v>35</v>
      </c>
      <c r="D554" t="s">
        <v>228</v>
      </c>
      <c r="E554" t="s">
        <v>37</v>
      </c>
      <c r="F554" t="s">
        <v>113</v>
      </c>
      <c r="G554" t="s">
        <v>37</v>
      </c>
      <c r="H554">
        <v>100</v>
      </c>
      <c r="J554" t="s">
        <v>72</v>
      </c>
      <c r="K554" t="s">
        <v>1440</v>
      </c>
      <c r="M554">
        <v>37.03</v>
      </c>
      <c r="N554" t="s">
        <v>169</v>
      </c>
      <c r="S554">
        <v>1920</v>
      </c>
      <c r="T554">
        <v>1</v>
      </c>
      <c r="U554">
        <v>1920</v>
      </c>
      <c r="V554">
        <v>1</v>
      </c>
      <c r="W554">
        <v>0.0</v>
      </c>
      <c r="X554">
        <v>0.0</v>
      </c>
      <c r="Y554">
        <v>0.0</v>
      </c>
      <c r="Z554">
        <v>0.0</v>
      </c>
      <c r="AA554">
        <v>0.0</v>
      </c>
      <c r="AB554">
        <v>0.0</v>
      </c>
      <c r="AC554">
        <v>0.0</v>
      </c>
      <c r="AD554">
        <v>0.0</v>
      </c>
    </row>
    <row r="555" spans="1:33">
      <c r="A555" t="s">
        <v>1441</v>
      </c>
      <c r="B555" t="s">
        <v>1442</v>
      </c>
      <c r="C555" t="s">
        <v>35</v>
      </c>
      <c r="D555" t="s">
        <v>228</v>
      </c>
      <c r="E555" t="s">
        <v>37</v>
      </c>
      <c r="F555" t="s">
        <v>113</v>
      </c>
      <c r="G555" t="s">
        <v>37</v>
      </c>
      <c r="H555">
        <v>1</v>
      </c>
      <c r="J555" t="s">
        <v>478</v>
      </c>
      <c r="K555">
        <v>765339</v>
      </c>
      <c r="M555">
        <v>11.31</v>
      </c>
      <c r="N555" t="s">
        <v>169</v>
      </c>
      <c r="S555">
        <v>1920</v>
      </c>
      <c r="T555">
        <v>1</v>
      </c>
      <c r="U555">
        <v>1920</v>
      </c>
      <c r="V555">
        <v>1</v>
      </c>
      <c r="W555">
        <v>0.0</v>
      </c>
      <c r="X555">
        <v>0.0</v>
      </c>
      <c r="Y555">
        <v>0.0</v>
      </c>
      <c r="Z555">
        <v>0.0</v>
      </c>
      <c r="AA555">
        <v>0.0</v>
      </c>
      <c r="AB555">
        <v>0.0</v>
      </c>
      <c r="AC555">
        <v>0.0</v>
      </c>
      <c r="AD555">
        <v>0.0</v>
      </c>
    </row>
    <row r="556" spans="1:33">
      <c r="A556" t="s">
        <v>1443</v>
      </c>
      <c r="B556" t="s">
        <v>1444</v>
      </c>
      <c r="C556" t="s">
        <v>35</v>
      </c>
      <c r="D556" t="s">
        <v>36</v>
      </c>
      <c r="E556" t="s">
        <v>37</v>
      </c>
      <c r="F556" t="s">
        <v>113</v>
      </c>
      <c r="G556" t="s">
        <v>37</v>
      </c>
      <c r="J556" t="s">
        <v>51</v>
      </c>
      <c r="K556">
        <v>595705</v>
      </c>
      <c r="M556">
        <v>26.99</v>
      </c>
      <c r="W556">
        <v>0.0</v>
      </c>
      <c r="X556">
        <v>0.0</v>
      </c>
      <c r="Y556">
        <v>0.0</v>
      </c>
      <c r="Z556">
        <v>0.0</v>
      </c>
      <c r="AA556">
        <v>0.0</v>
      </c>
      <c r="AB556">
        <v>0.0</v>
      </c>
      <c r="AC556">
        <v>0.0</v>
      </c>
      <c r="AD556">
        <v>0.0</v>
      </c>
    </row>
    <row r="557" spans="1:33">
      <c r="A557" t="s">
        <v>1445</v>
      </c>
      <c r="B557" t="s">
        <v>1446</v>
      </c>
      <c r="C557" t="s">
        <v>35</v>
      </c>
      <c r="D557" t="s">
        <v>228</v>
      </c>
      <c r="E557" t="s">
        <v>37</v>
      </c>
      <c r="F557" t="s">
        <v>113</v>
      </c>
      <c r="G557" t="s">
        <v>37</v>
      </c>
      <c r="J557" t="s">
        <v>76</v>
      </c>
      <c r="K557">
        <v>11675898</v>
      </c>
      <c r="M557">
        <v>21.58</v>
      </c>
      <c r="N557" t="s">
        <v>169</v>
      </c>
      <c r="P557" t="s">
        <v>46</v>
      </c>
      <c r="W557">
        <v>0.0</v>
      </c>
      <c r="X557">
        <v>0.0</v>
      </c>
      <c r="Y557">
        <v>0.0</v>
      </c>
      <c r="Z557">
        <v>0.0</v>
      </c>
      <c r="AA557">
        <v>0.0</v>
      </c>
      <c r="AB557">
        <v>0.0</v>
      </c>
      <c r="AC557">
        <v>0.0</v>
      </c>
      <c r="AD557">
        <v>0.0</v>
      </c>
    </row>
    <row r="558" spans="1:33">
      <c r="A558" t="s">
        <v>1447</v>
      </c>
      <c r="B558" t="s">
        <v>1448</v>
      </c>
      <c r="C558" t="s">
        <v>35</v>
      </c>
      <c r="D558" t="s">
        <v>228</v>
      </c>
      <c r="E558" t="s">
        <v>37</v>
      </c>
      <c r="F558" t="s">
        <v>113</v>
      </c>
      <c r="G558" t="s">
        <v>37</v>
      </c>
      <c r="J558" t="s">
        <v>62</v>
      </c>
      <c r="K558">
        <v>765339</v>
      </c>
      <c r="M558">
        <v>11.31</v>
      </c>
      <c r="N558" t="s">
        <v>169</v>
      </c>
      <c r="P558" t="s">
        <v>87</v>
      </c>
      <c r="R558" t="s">
        <v>48</v>
      </c>
      <c r="W558">
        <v>0.0</v>
      </c>
      <c r="X558">
        <v>0.0</v>
      </c>
      <c r="Y558">
        <v>0.0</v>
      </c>
      <c r="Z558">
        <v>0.0</v>
      </c>
      <c r="AA558">
        <v>0.0</v>
      </c>
      <c r="AB558">
        <v>0.0</v>
      </c>
      <c r="AC558">
        <v>0.0</v>
      </c>
      <c r="AD558">
        <v>0.0</v>
      </c>
    </row>
    <row r="559" spans="1:33">
      <c r="A559" t="s">
        <v>1449</v>
      </c>
      <c r="B559" t="s">
        <v>1450</v>
      </c>
      <c r="C559" t="s">
        <v>35</v>
      </c>
      <c r="D559" t="s">
        <v>228</v>
      </c>
      <c r="E559" t="s">
        <v>37</v>
      </c>
      <c r="F559" t="s">
        <v>113</v>
      </c>
      <c r="G559" t="s">
        <v>37</v>
      </c>
      <c r="J559" t="s">
        <v>51</v>
      </c>
      <c r="K559">
        <v>912091</v>
      </c>
      <c r="M559">
        <v>4.99</v>
      </c>
      <c r="W559">
        <v>0.0</v>
      </c>
      <c r="X559">
        <v>0.0</v>
      </c>
      <c r="Y559">
        <v>0.0</v>
      </c>
      <c r="Z559">
        <v>0.0</v>
      </c>
      <c r="AA559">
        <v>0.0</v>
      </c>
      <c r="AB559">
        <v>0.0</v>
      </c>
      <c r="AC559">
        <v>0.0</v>
      </c>
      <c r="AD559">
        <v>0.0</v>
      </c>
    </row>
    <row r="560" spans="1:33">
      <c r="A560" t="s">
        <v>1451</v>
      </c>
      <c r="B560" t="s">
        <v>1452</v>
      </c>
      <c r="C560" t="s">
        <v>35</v>
      </c>
      <c r="D560" t="s">
        <v>36</v>
      </c>
      <c r="E560" t="s">
        <v>37</v>
      </c>
      <c r="F560" t="s">
        <v>37</v>
      </c>
      <c r="G560" t="s">
        <v>37</v>
      </c>
      <c r="J560" t="s">
        <v>62</v>
      </c>
      <c r="K560">
        <v>705722</v>
      </c>
      <c r="M560">
        <v>26.71</v>
      </c>
      <c r="P560" t="s">
        <v>87</v>
      </c>
      <c r="R560" t="s">
        <v>471</v>
      </c>
      <c r="W560">
        <v>0.0</v>
      </c>
      <c r="X560">
        <v>0.0</v>
      </c>
      <c r="Y560">
        <v>0.0</v>
      </c>
      <c r="Z560">
        <v>0.0</v>
      </c>
      <c r="AA560">
        <v>0.0</v>
      </c>
      <c r="AB560">
        <v>0.0</v>
      </c>
      <c r="AC560">
        <v>0.0</v>
      </c>
      <c r="AD560">
        <v>0.0</v>
      </c>
    </row>
    <row r="561" spans="1:33">
      <c r="A561" t="s">
        <v>1453</v>
      </c>
      <c r="B561" t="s">
        <v>1454</v>
      </c>
      <c r="C561" t="s">
        <v>35</v>
      </c>
      <c r="D561" t="s">
        <v>36</v>
      </c>
      <c r="E561" t="s">
        <v>37</v>
      </c>
      <c r="F561" t="s">
        <v>37</v>
      </c>
      <c r="G561" t="s">
        <v>37</v>
      </c>
      <c r="J561" t="s">
        <v>72</v>
      </c>
      <c r="K561" t="s">
        <v>1455</v>
      </c>
      <c r="M561">
        <v>60.47</v>
      </c>
      <c r="S561">
        <v>500</v>
      </c>
      <c r="T561">
        <v>1</v>
      </c>
      <c r="U561">
        <v>500</v>
      </c>
      <c r="V561">
        <v>1</v>
      </c>
      <c r="W561">
        <v>0.0</v>
      </c>
      <c r="X561">
        <v>0.0</v>
      </c>
      <c r="Y561">
        <v>0.0</v>
      </c>
      <c r="Z561">
        <v>0.0</v>
      </c>
      <c r="AA561">
        <v>0.0</v>
      </c>
      <c r="AB561">
        <v>0.0</v>
      </c>
      <c r="AC561">
        <v>0.0</v>
      </c>
      <c r="AD561">
        <v>0.0</v>
      </c>
    </row>
    <row r="562" spans="1:33">
      <c r="A562" t="s">
        <v>1456</v>
      </c>
      <c r="B562" t="s">
        <v>1457</v>
      </c>
      <c r="C562" t="s">
        <v>35</v>
      </c>
      <c r="D562" t="s">
        <v>36</v>
      </c>
      <c r="E562" t="s">
        <v>37</v>
      </c>
      <c r="F562" t="s">
        <v>37</v>
      </c>
      <c r="G562" t="s">
        <v>37</v>
      </c>
      <c r="J562" t="s">
        <v>478</v>
      </c>
      <c r="K562">
        <v>758966</v>
      </c>
      <c r="M562">
        <v>93.8</v>
      </c>
      <c r="S562">
        <v>500</v>
      </c>
      <c r="T562">
        <v>1</v>
      </c>
      <c r="U562">
        <v>500</v>
      </c>
      <c r="V562">
        <v>1</v>
      </c>
      <c r="W562">
        <v>0.0</v>
      </c>
      <c r="X562">
        <v>0.0</v>
      </c>
      <c r="Y562">
        <v>0.0</v>
      </c>
      <c r="Z562">
        <v>0.0</v>
      </c>
      <c r="AA562">
        <v>0.0</v>
      </c>
      <c r="AB562">
        <v>0.0</v>
      </c>
      <c r="AC562">
        <v>0.0</v>
      </c>
      <c r="AD562">
        <v>0.0</v>
      </c>
    </row>
    <row r="563" spans="1:33">
      <c r="A563" t="s">
        <v>1458</v>
      </c>
      <c r="B563" t="s">
        <v>1459</v>
      </c>
      <c r="C563" t="s">
        <v>35</v>
      </c>
      <c r="D563" t="s">
        <v>36</v>
      </c>
      <c r="E563" t="s">
        <v>37</v>
      </c>
      <c r="F563" t="s">
        <v>37</v>
      </c>
      <c r="G563" t="s">
        <v>37</v>
      </c>
      <c r="J563" t="s">
        <v>51</v>
      </c>
      <c r="K563">
        <v>758966</v>
      </c>
      <c r="M563">
        <v>93.8</v>
      </c>
    </row>
    <row r="564" spans="1:33">
      <c r="A564" t="s">
        <v>1460</v>
      </c>
      <c r="B564" t="s">
        <v>1461</v>
      </c>
      <c r="C564" t="s">
        <v>35</v>
      </c>
      <c r="D564" t="s">
        <v>36</v>
      </c>
      <c r="E564" t="s">
        <v>37</v>
      </c>
      <c r="F564" t="s">
        <v>37</v>
      </c>
      <c r="G564" t="s">
        <v>37</v>
      </c>
      <c r="J564" t="s">
        <v>76</v>
      </c>
      <c r="K564">
        <v>6023</v>
      </c>
      <c r="M564">
        <v>115.47</v>
      </c>
      <c r="P564" t="s">
        <v>46</v>
      </c>
      <c r="W564">
        <v>0.0</v>
      </c>
      <c r="X564">
        <v>0.0</v>
      </c>
      <c r="Y564">
        <v>0.0</v>
      </c>
      <c r="Z564">
        <v>0.0</v>
      </c>
      <c r="AA564">
        <v>0.0</v>
      </c>
      <c r="AB564">
        <v>0.0</v>
      </c>
      <c r="AC564">
        <v>0.0</v>
      </c>
      <c r="AD564">
        <v>0.0</v>
      </c>
    </row>
    <row r="565" spans="1:33">
      <c r="A565" t="s">
        <v>1462</v>
      </c>
      <c r="B565" t="s">
        <v>1463</v>
      </c>
      <c r="C565" t="s">
        <v>35</v>
      </c>
      <c r="D565" t="s">
        <v>36</v>
      </c>
      <c r="E565" t="s">
        <v>37</v>
      </c>
      <c r="F565" t="s">
        <v>113</v>
      </c>
      <c r="G565" t="s">
        <v>37</v>
      </c>
      <c r="J565" t="s">
        <v>62</v>
      </c>
      <c r="K565">
        <v>533257</v>
      </c>
      <c r="M565">
        <v>2.98</v>
      </c>
      <c r="N565" t="s">
        <v>169</v>
      </c>
      <c r="P565" t="s">
        <v>87</v>
      </c>
      <c r="R565" t="s">
        <v>1464</v>
      </c>
      <c r="W565">
        <v>0.0</v>
      </c>
      <c r="X565">
        <v>0.0</v>
      </c>
      <c r="Y565">
        <v>0.0</v>
      </c>
      <c r="Z565">
        <v>0.0</v>
      </c>
      <c r="AA565">
        <v>0.0</v>
      </c>
      <c r="AB565">
        <v>0.0</v>
      </c>
      <c r="AC565">
        <v>0.0</v>
      </c>
      <c r="AD565">
        <v>0.0</v>
      </c>
    </row>
    <row r="566" spans="1:33">
      <c r="A566" t="s">
        <v>1465</v>
      </c>
      <c r="B566" t="s">
        <v>1466</v>
      </c>
      <c r="C566" t="s">
        <v>35</v>
      </c>
      <c r="D566" t="s">
        <v>36</v>
      </c>
      <c r="E566" t="s">
        <v>37</v>
      </c>
      <c r="F566" t="s">
        <v>113</v>
      </c>
      <c r="G566" t="s">
        <v>37</v>
      </c>
      <c r="J566" t="s">
        <v>72</v>
      </c>
      <c r="K566" t="s">
        <v>1467</v>
      </c>
      <c r="M566">
        <v>17.69</v>
      </c>
      <c r="N566" t="s">
        <v>169</v>
      </c>
      <c r="S566">
        <v>1250</v>
      </c>
      <c r="T566">
        <v>1</v>
      </c>
      <c r="U566">
        <v>1250</v>
      </c>
      <c r="V566">
        <v>1</v>
      </c>
      <c r="W566">
        <v>0.0</v>
      </c>
      <c r="X566">
        <v>0.0</v>
      </c>
      <c r="Y566">
        <v>0.0</v>
      </c>
      <c r="Z566">
        <v>0.0</v>
      </c>
      <c r="AA566">
        <v>0.0</v>
      </c>
      <c r="AB566">
        <v>0.0</v>
      </c>
      <c r="AC566">
        <v>0.0</v>
      </c>
      <c r="AD566">
        <v>0.0</v>
      </c>
    </row>
    <row r="567" spans="1:33">
      <c r="A567" t="s">
        <v>1468</v>
      </c>
      <c r="B567" t="s">
        <v>1469</v>
      </c>
      <c r="C567" t="s">
        <v>35</v>
      </c>
      <c r="D567" t="s">
        <v>36</v>
      </c>
      <c r="E567" t="s">
        <v>37</v>
      </c>
      <c r="F567" t="s">
        <v>113</v>
      </c>
      <c r="G567" t="s">
        <v>37</v>
      </c>
      <c r="J567" t="s">
        <v>478</v>
      </c>
      <c r="K567">
        <v>79511</v>
      </c>
      <c r="M567">
        <v>28.99</v>
      </c>
      <c r="N567" t="s">
        <v>169</v>
      </c>
      <c r="S567">
        <v>1250</v>
      </c>
      <c r="T567">
        <v>1</v>
      </c>
      <c r="U567">
        <v>1250</v>
      </c>
      <c r="V567">
        <v>1</v>
      </c>
      <c r="W567">
        <v>0.0</v>
      </c>
      <c r="X567">
        <v>0.0</v>
      </c>
      <c r="Y567">
        <v>0.0</v>
      </c>
      <c r="Z567">
        <v>0.0</v>
      </c>
      <c r="AA567">
        <v>0.0</v>
      </c>
      <c r="AB567">
        <v>0.0</v>
      </c>
      <c r="AC567">
        <v>0.0</v>
      </c>
      <c r="AD567">
        <v>0.0</v>
      </c>
    </row>
    <row r="568" spans="1:33">
      <c r="A568" t="s">
        <v>1470</v>
      </c>
      <c r="B568" t="s">
        <v>1471</v>
      </c>
      <c r="C568" t="s">
        <v>35</v>
      </c>
      <c r="D568" t="s">
        <v>36</v>
      </c>
      <c r="E568" t="s">
        <v>37</v>
      </c>
      <c r="F568" t="s">
        <v>113</v>
      </c>
      <c r="G568" t="s">
        <v>37</v>
      </c>
      <c r="J568" t="s">
        <v>51</v>
      </c>
      <c r="K568">
        <v>79511</v>
      </c>
      <c r="M568">
        <v>28.99</v>
      </c>
      <c r="W568">
        <v>0.0</v>
      </c>
      <c r="X568">
        <v>0.0</v>
      </c>
      <c r="Y568">
        <v>0.0</v>
      </c>
      <c r="Z568">
        <v>0.0</v>
      </c>
      <c r="AA568">
        <v>0.0</v>
      </c>
      <c r="AB568">
        <v>0.0</v>
      </c>
      <c r="AC568">
        <v>0.0</v>
      </c>
      <c r="AD568">
        <v>0.0</v>
      </c>
    </row>
    <row r="569" spans="1:33">
      <c r="A569" t="s">
        <v>1472</v>
      </c>
      <c r="B569" t="s">
        <v>1473</v>
      </c>
      <c r="C569" t="s">
        <v>35</v>
      </c>
      <c r="D569" t="s">
        <v>36</v>
      </c>
      <c r="E569" t="s">
        <v>37</v>
      </c>
      <c r="F569" t="s">
        <v>113</v>
      </c>
      <c r="G569" t="s">
        <v>37</v>
      </c>
      <c r="J569" t="s">
        <v>76</v>
      </c>
      <c r="K569" t="s">
        <v>1474</v>
      </c>
      <c r="M569">
        <v>25.08</v>
      </c>
      <c r="N569" t="s">
        <v>169</v>
      </c>
      <c r="P569" t="s">
        <v>46</v>
      </c>
    </row>
    <row r="570" spans="1:33">
      <c r="A570" t="s">
        <v>1475</v>
      </c>
      <c r="B570" t="s">
        <v>1476</v>
      </c>
      <c r="C570" t="s">
        <v>35</v>
      </c>
      <c r="D570" t="s">
        <v>228</v>
      </c>
      <c r="E570" t="s">
        <v>37</v>
      </c>
      <c r="F570" t="s">
        <v>113</v>
      </c>
      <c r="G570" t="s">
        <v>37</v>
      </c>
      <c r="J570" t="s">
        <v>62</v>
      </c>
      <c r="K570">
        <v>489526</v>
      </c>
      <c r="M570">
        <v>9.95</v>
      </c>
      <c r="N570" t="s">
        <v>169</v>
      </c>
      <c r="P570" t="s">
        <v>87</v>
      </c>
      <c r="R570" t="s">
        <v>48</v>
      </c>
      <c r="W570">
        <v>0.0</v>
      </c>
      <c r="X570">
        <v>0.0</v>
      </c>
      <c r="Y570">
        <v>0.0</v>
      </c>
      <c r="Z570">
        <v>0.0</v>
      </c>
      <c r="AA570">
        <v>0.0</v>
      </c>
      <c r="AB570">
        <v>0.0</v>
      </c>
      <c r="AC570">
        <v>0.0</v>
      </c>
      <c r="AD570">
        <v>0.0</v>
      </c>
    </row>
    <row r="571" spans="1:33">
      <c r="A571" t="s">
        <v>1477</v>
      </c>
      <c r="B571" t="s">
        <v>1478</v>
      </c>
      <c r="C571" t="s">
        <v>35</v>
      </c>
      <c r="D571" t="s">
        <v>228</v>
      </c>
      <c r="E571" t="s">
        <v>37</v>
      </c>
      <c r="F571" t="s">
        <v>113</v>
      </c>
      <c r="G571" t="s">
        <v>37</v>
      </c>
      <c r="J571" t="s">
        <v>72</v>
      </c>
      <c r="K571" t="s">
        <v>1479</v>
      </c>
      <c r="M571">
        <v>25.11</v>
      </c>
      <c r="N571" t="s">
        <v>169</v>
      </c>
      <c r="S571">
        <v>1500</v>
      </c>
      <c r="T571">
        <v>1</v>
      </c>
      <c r="U571">
        <v>1500</v>
      </c>
      <c r="V571">
        <v>1</v>
      </c>
      <c r="W571">
        <v>0.0</v>
      </c>
      <c r="X571">
        <v>0.0</v>
      </c>
      <c r="Y571">
        <v>0.0</v>
      </c>
      <c r="Z571">
        <v>0.0</v>
      </c>
      <c r="AA571">
        <v>0.0</v>
      </c>
      <c r="AB571">
        <v>0.0</v>
      </c>
      <c r="AC571">
        <v>0.0</v>
      </c>
      <c r="AD571">
        <v>0.0</v>
      </c>
    </row>
    <row r="572" spans="1:33">
      <c r="A572" t="s">
        <v>1480</v>
      </c>
      <c r="B572" t="s">
        <v>1481</v>
      </c>
      <c r="C572" t="s">
        <v>35</v>
      </c>
      <c r="D572" t="s">
        <v>228</v>
      </c>
      <c r="E572" t="s">
        <v>37</v>
      </c>
      <c r="F572" t="s">
        <v>113</v>
      </c>
      <c r="G572" t="s">
        <v>37</v>
      </c>
      <c r="J572" t="s">
        <v>478</v>
      </c>
      <c r="K572">
        <v>489526</v>
      </c>
      <c r="M572">
        <v>9.95</v>
      </c>
      <c r="N572" t="s">
        <v>169</v>
      </c>
      <c r="S572">
        <v>1500</v>
      </c>
      <c r="T572">
        <v>1</v>
      </c>
      <c r="U572">
        <v>1500</v>
      </c>
      <c r="V572">
        <v>1</v>
      </c>
      <c r="W572">
        <v>0.0</v>
      </c>
      <c r="X572">
        <v>0.0</v>
      </c>
      <c r="Y572">
        <v>0.0</v>
      </c>
      <c r="Z572">
        <v>0.0</v>
      </c>
      <c r="AA572">
        <v>0.0</v>
      </c>
      <c r="AB572">
        <v>0.0</v>
      </c>
      <c r="AC572">
        <v>0.0</v>
      </c>
      <c r="AD572">
        <v>0.0</v>
      </c>
    </row>
    <row r="573" spans="1:33">
      <c r="A573" t="s">
        <v>1482</v>
      </c>
      <c r="B573" t="s">
        <v>1483</v>
      </c>
      <c r="C573" t="s">
        <v>35</v>
      </c>
      <c r="D573" t="s">
        <v>228</v>
      </c>
      <c r="E573" t="s">
        <v>37</v>
      </c>
      <c r="F573" t="s">
        <v>113</v>
      </c>
      <c r="G573" t="s">
        <v>37</v>
      </c>
      <c r="J573" t="s">
        <v>51</v>
      </c>
      <c r="K573">
        <v>489526</v>
      </c>
      <c r="M573">
        <v>9.95</v>
      </c>
      <c r="W573">
        <v>0.0</v>
      </c>
      <c r="X573">
        <v>0.0</v>
      </c>
      <c r="Y573">
        <v>0.0</v>
      </c>
      <c r="Z573">
        <v>0.0</v>
      </c>
      <c r="AA573">
        <v>0.0</v>
      </c>
      <c r="AB573">
        <v>0.0</v>
      </c>
      <c r="AC573">
        <v>0.0</v>
      </c>
      <c r="AD573">
        <v>0.0</v>
      </c>
    </row>
    <row r="574" spans="1:33">
      <c r="A574" t="s">
        <v>1484</v>
      </c>
      <c r="B574" t="s">
        <v>1485</v>
      </c>
      <c r="C574" t="s">
        <v>35</v>
      </c>
      <c r="D574" t="s">
        <v>228</v>
      </c>
      <c r="E574" t="s">
        <v>37</v>
      </c>
      <c r="F574" t="s">
        <v>113</v>
      </c>
      <c r="G574" t="s">
        <v>37</v>
      </c>
      <c r="J574" t="s">
        <v>76</v>
      </c>
      <c r="K574">
        <v>16020001</v>
      </c>
      <c r="M574">
        <v>25.6</v>
      </c>
      <c r="N574" t="s">
        <v>169</v>
      </c>
    </row>
    <row r="575" spans="1:33">
      <c r="A575" t="s">
        <v>1486</v>
      </c>
      <c r="B575" t="s">
        <v>1487</v>
      </c>
      <c r="C575" t="s">
        <v>35</v>
      </c>
      <c r="D575" t="s">
        <v>36</v>
      </c>
      <c r="E575" t="s">
        <v>37</v>
      </c>
      <c r="F575" t="s">
        <v>113</v>
      </c>
      <c r="G575" t="s">
        <v>37</v>
      </c>
      <c r="J575" t="s">
        <v>62</v>
      </c>
      <c r="K575">
        <v>498238</v>
      </c>
      <c r="M575">
        <v>0.89</v>
      </c>
      <c r="N575" t="s">
        <v>169</v>
      </c>
      <c r="P575" t="s">
        <v>87</v>
      </c>
      <c r="R575" t="s">
        <v>170</v>
      </c>
      <c r="W575">
        <v>0.0</v>
      </c>
      <c r="X575">
        <v>0.0</v>
      </c>
      <c r="Y575">
        <v>0.0</v>
      </c>
      <c r="Z575">
        <v>0.0</v>
      </c>
      <c r="AA575">
        <v>0.0</v>
      </c>
      <c r="AB575">
        <v>0.0</v>
      </c>
      <c r="AC575">
        <v>0.0</v>
      </c>
      <c r="AD575">
        <v>0.0</v>
      </c>
    </row>
    <row r="576" spans="1:33">
      <c r="A576" t="s">
        <v>1488</v>
      </c>
      <c r="B576" t="s">
        <v>1489</v>
      </c>
      <c r="C576" t="s">
        <v>35</v>
      </c>
      <c r="D576" t="s">
        <v>228</v>
      </c>
      <c r="E576" t="s">
        <v>37</v>
      </c>
      <c r="F576" t="s">
        <v>113</v>
      </c>
      <c r="G576" t="s">
        <v>37</v>
      </c>
      <c r="H576">
        <v>5</v>
      </c>
      <c r="J576" t="s">
        <v>72</v>
      </c>
      <c r="K576" t="s">
        <v>1490</v>
      </c>
      <c r="M576">
        <v>7.89</v>
      </c>
      <c r="N576" t="s">
        <v>169</v>
      </c>
      <c r="S576">
        <v>5000</v>
      </c>
      <c r="T576">
        <v>1</v>
      </c>
      <c r="U576">
        <v>5000</v>
      </c>
      <c r="V576">
        <v>1</v>
      </c>
      <c r="W576">
        <v>0.0</v>
      </c>
      <c r="X576">
        <v>0.0</v>
      </c>
      <c r="Y576">
        <v>0.0</v>
      </c>
      <c r="Z576">
        <v>0.0</v>
      </c>
      <c r="AA576">
        <v>0.0</v>
      </c>
      <c r="AB576">
        <v>0.0</v>
      </c>
      <c r="AC576">
        <v>0.0</v>
      </c>
      <c r="AD576">
        <v>0.0</v>
      </c>
    </row>
    <row r="577" spans="1:33">
      <c r="A577" t="s">
        <v>1491</v>
      </c>
      <c r="B577" t="s">
        <v>1492</v>
      </c>
      <c r="C577" t="s">
        <v>35</v>
      </c>
      <c r="D577" t="s">
        <v>36</v>
      </c>
      <c r="E577" t="s">
        <v>37</v>
      </c>
      <c r="F577" t="s">
        <v>113</v>
      </c>
      <c r="G577" t="s">
        <v>37</v>
      </c>
      <c r="J577" t="s">
        <v>478</v>
      </c>
      <c r="K577">
        <v>498238</v>
      </c>
      <c r="M577">
        <v>0.89</v>
      </c>
      <c r="N577" t="s">
        <v>169</v>
      </c>
      <c r="S577">
        <v>5000</v>
      </c>
      <c r="T577">
        <v>1</v>
      </c>
      <c r="U577">
        <v>5000</v>
      </c>
      <c r="V577">
        <v>1</v>
      </c>
      <c r="W577">
        <v>0.0</v>
      </c>
      <c r="X577">
        <v>0.0</v>
      </c>
      <c r="Y577">
        <v>0.0</v>
      </c>
      <c r="Z577">
        <v>0.0</v>
      </c>
      <c r="AA577">
        <v>0.0</v>
      </c>
      <c r="AB577">
        <v>0.0</v>
      </c>
      <c r="AC577">
        <v>0.0</v>
      </c>
      <c r="AD577">
        <v>0.0</v>
      </c>
    </row>
    <row r="578" spans="1:33">
      <c r="A578" t="s">
        <v>1493</v>
      </c>
      <c r="B578" t="s">
        <v>1494</v>
      </c>
      <c r="C578" t="s">
        <v>35</v>
      </c>
      <c r="D578" t="s">
        <v>36</v>
      </c>
      <c r="E578" t="s">
        <v>37</v>
      </c>
      <c r="F578" t="s">
        <v>113</v>
      </c>
      <c r="G578" t="s">
        <v>37</v>
      </c>
      <c r="J578" t="s">
        <v>51</v>
      </c>
      <c r="K578">
        <v>498238</v>
      </c>
      <c r="M578">
        <v>0.89</v>
      </c>
    </row>
    <row r="579" spans="1:33">
      <c r="A579" t="s">
        <v>1495</v>
      </c>
      <c r="B579" t="s">
        <v>1496</v>
      </c>
      <c r="C579" t="s">
        <v>35</v>
      </c>
      <c r="D579" t="s">
        <v>36</v>
      </c>
      <c r="E579" t="s">
        <v>37</v>
      </c>
      <c r="F579" t="s">
        <v>113</v>
      </c>
      <c r="G579" t="s">
        <v>37</v>
      </c>
      <c r="J579" t="s">
        <v>76</v>
      </c>
      <c r="K579">
        <v>74245001</v>
      </c>
      <c r="M579">
        <v>0.99</v>
      </c>
      <c r="N579" t="s">
        <v>169</v>
      </c>
      <c r="P579" t="s">
        <v>46</v>
      </c>
    </row>
    <row r="580" spans="1:33">
      <c r="A580" t="s">
        <v>1497</v>
      </c>
      <c r="B580" t="s">
        <v>1498</v>
      </c>
      <c r="C580" t="s">
        <v>35</v>
      </c>
      <c r="D580" t="s">
        <v>228</v>
      </c>
      <c r="E580" t="s">
        <v>37</v>
      </c>
      <c r="F580" t="s">
        <v>113</v>
      </c>
      <c r="G580" t="s">
        <v>37</v>
      </c>
      <c r="H580">
        <v>4</v>
      </c>
      <c r="J580" t="s">
        <v>72</v>
      </c>
      <c r="K580" t="s">
        <v>1499</v>
      </c>
      <c r="M580">
        <v>2.14</v>
      </c>
      <c r="N580" t="s">
        <v>169</v>
      </c>
      <c r="S580">
        <v>5000</v>
      </c>
      <c r="T580">
        <v>1</v>
      </c>
      <c r="U580">
        <v>5000</v>
      </c>
      <c r="V580">
        <v>1</v>
      </c>
      <c r="W580">
        <v>0.0</v>
      </c>
      <c r="X580">
        <v>0.0</v>
      </c>
      <c r="Y580">
        <v>0.0</v>
      </c>
      <c r="Z580">
        <v>0.0</v>
      </c>
      <c r="AA580">
        <v>0.0</v>
      </c>
      <c r="AB580">
        <v>0.0</v>
      </c>
      <c r="AC580">
        <v>0.0</v>
      </c>
      <c r="AD580">
        <v>0.0</v>
      </c>
    </row>
    <row r="581" spans="1:33">
      <c r="A581" t="s">
        <v>1500</v>
      </c>
      <c r="B581" t="s">
        <v>1501</v>
      </c>
      <c r="C581" t="s">
        <v>35</v>
      </c>
      <c r="D581" t="s">
        <v>36</v>
      </c>
      <c r="E581" t="s">
        <v>37</v>
      </c>
      <c r="F581" t="s">
        <v>113</v>
      </c>
      <c r="G581" t="s">
        <v>37</v>
      </c>
      <c r="H581">
        <v>1</v>
      </c>
      <c r="J581" t="s">
        <v>478</v>
      </c>
      <c r="K581">
        <v>501726</v>
      </c>
      <c r="M581">
        <v>0.89</v>
      </c>
      <c r="N581" t="s">
        <v>169</v>
      </c>
      <c r="S581">
        <v>5000</v>
      </c>
      <c r="T581">
        <v>1</v>
      </c>
      <c r="U581">
        <v>5000</v>
      </c>
      <c r="V581">
        <v>1</v>
      </c>
      <c r="W581">
        <v>0.0</v>
      </c>
      <c r="X581">
        <v>0.0</v>
      </c>
      <c r="Y581">
        <v>0.0</v>
      </c>
      <c r="Z581">
        <v>0.0</v>
      </c>
      <c r="AA581">
        <v>0.0</v>
      </c>
      <c r="AB581">
        <v>0.0</v>
      </c>
      <c r="AC581">
        <v>0.0</v>
      </c>
      <c r="AD581">
        <v>0.0</v>
      </c>
    </row>
    <row r="582" spans="1:33">
      <c r="A582" t="s">
        <v>1502</v>
      </c>
      <c r="B582" t="s">
        <v>1503</v>
      </c>
      <c r="C582" t="s">
        <v>35</v>
      </c>
      <c r="D582" t="s">
        <v>36</v>
      </c>
      <c r="E582" t="s">
        <v>37</v>
      </c>
      <c r="F582" t="s">
        <v>113</v>
      </c>
      <c r="G582" t="s">
        <v>37</v>
      </c>
      <c r="J582" t="s">
        <v>51</v>
      </c>
      <c r="K582">
        <v>501726</v>
      </c>
      <c r="M582">
        <v>0.89</v>
      </c>
      <c r="N582" t="s">
        <v>169</v>
      </c>
    </row>
    <row r="583" spans="1:33">
      <c r="A583" t="s">
        <v>1504</v>
      </c>
      <c r="B583" t="s">
        <v>1505</v>
      </c>
      <c r="C583" t="s">
        <v>35</v>
      </c>
      <c r="D583" t="s">
        <v>36</v>
      </c>
      <c r="E583" t="s">
        <v>37</v>
      </c>
      <c r="F583" t="s">
        <v>113</v>
      </c>
      <c r="G583" t="s">
        <v>37</v>
      </c>
      <c r="J583" t="s">
        <v>76</v>
      </c>
      <c r="K583">
        <v>1591044</v>
      </c>
      <c r="M583">
        <v>0.7</v>
      </c>
      <c r="N583" t="s">
        <v>169</v>
      </c>
      <c r="P583" t="s">
        <v>46</v>
      </c>
    </row>
    <row r="584" spans="1:33">
      <c r="A584" t="s">
        <v>1506</v>
      </c>
      <c r="B584" t="s">
        <v>1507</v>
      </c>
      <c r="C584" t="s">
        <v>35</v>
      </c>
      <c r="D584" t="s">
        <v>36</v>
      </c>
      <c r="E584" t="s">
        <v>37</v>
      </c>
      <c r="F584" t="s">
        <v>113</v>
      </c>
      <c r="G584" t="s">
        <v>37</v>
      </c>
      <c r="H584">
        <v>1</v>
      </c>
      <c r="J584" t="s">
        <v>72</v>
      </c>
      <c r="K584" t="s">
        <v>1508</v>
      </c>
      <c r="M584">
        <v>5.31</v>
      </c>
      <c r="S584">
        <v>1000</v>
      </c>
      <c r="T584">
        <v>1</v>
      </c>
      <c r="U584">
        <v>1000</v>
      </c>
      <c r="V584">
        <v>1</v>
      </c>
      <c r="W584">
        <v>0.0</v>
      </c>
      <c r="X584">
        <v>0.0</v>
      </c>
      <c r="Y584">
        <v>0.0</v>
      </c>
      <c r="Z584">
        <v>0.0</v>
      </c>
      <c r="AA584">
        <v>0.0</v>
      </c>
      <c r="AB584">
        <v>0.0</v>
      </c>
      <c r="AC584">
        <v>0.0</v>
      </c>
      <c r="AD584">
        <v>0.0</v>
      </c>
    </row>
    <row r="585" spans="1:33">
      <c r="A585" t="s">
        <v>1509</v>
      </c>
      <c r="B585" t="s">
        <v>1510</v>
      </c>
      <c r="C585" t="s">
        <v>35</v>
      </c>
      <c r="D585" t="s">
        <v>36</v>
      </c>
      <c r="E585" t="s">
        <v>37</v>
      </c>
      <c r="F585" t="s">
        <v>113</v>
      </c>
      <c r="G585" t="s">
        <v>37</v>
      </c>
      <c r="H585">
        <v>1</v>
      </c>
      <c r="J585" t="s">
        <v>478</v>
      </c>
      <c r="K585">
        <v>811097</v>
      </c>
      <c r="M585">
        <v>3.97</v>
      </c>
      <c r="S585">
        <v>1000</v>
      </c>
      <c r="T585">
        <v>1</v>
      </c>
      <c r="U585">
        <v>1000</v>
      </c>
      <c r="V585">
        <v>1</v>
      </c>
      <c r="W585">
        <v>0.0</v>
      </c>
      <c r="X585">
        <v>0.0</v>
      </c>
      <c r="Y585">
        <v>0.0</v>
      </c>
      <c r="Z585">
        <v>0.0</v>
      </c>
      <c r="AA585">
        <v>0.0</v>
      </c>
      <c r="AB585">
        <v>0.0</v>
      </c>
      <c r="AC585">
        <v>0.0</v>
      </c>
      <c r="AD585">
        <v>0.0</v>
      </c>
    </row>
    <row r="586" spans="1:33">
      <c r="A586" t="s">
        <v>1511</v>
      </c>
      <c r="B586" t="s">
        <v>1512</v>
      </c>
      <c r="C586" t="s">
        <v>35</v>
      </c>
      <c r="D586" t="s">
        <v>36</v>
      </c>
      <c r="E586" t="s">
        <v>37</v>
      </c>
      <c r="F586" t="s">
        <v>113</v>
      </c>
      <c r="G586" t="s">
        <v>37</v>
      </c>
      <c r="J586" t="s">
        <v>51</v>
      </c>
      <c r="K586">
        <v>811097</v>
      </c>
      <c r="M586">
        <v>3.97</v>
      </c>
      <c r="N586" t="s">
        <v>169</v>
      </c>
    </row>
    <row r="587" spans="1:33">
      <c r="A587" t="s">
        <v>1513</v>
      </c>
      <c r="B587" t="s">
        <v>1514</v>
      </c>
      <c r="C587" t="s">
        <v>35</v>
      </c>
      <c r="D587" t="s">
        <v>36</v>
      </c>
      <c r="E587" t="s">
        <v>37</v>
      </c>
      <c r="F587" t="s">
        <v>113</v>
      </c>
      <c r="G587" t="s">
        <v>37</v>
      </c>
      <c r="J587" t="s">
        <v>76</v>
      </c>
      <c r="K587">
        <v>75613027</v>
      </c>
      <c r="M587">
        <v>1.46</v>
      </c>
      <c r="N587" t="s">
        <v>169</v>
      </c>
      <c r="P587" t="s">
        <v>46</v>
      </c>
    </row>
    <row r="588" spans="1:33">
      <c r="A588" t="s">
        <v>1515</v>
      </c>
      <c r="B588" t="s">
        <v>1516</v>
      </c>
      <c r="C588" t="s">
        <v>35</v>
      </c>
      <c r="D588" t="s">
        <v>36</v>
      </c>
      <c r="E588" t="s">
        <v>37</v>
      </c>
      <c r="F588" t="s">
        <v>113</v>
      </c>
      <c r="G588" t="s">
        <v>37</v>
      </c>
      <c r="J588" t="s">
        <v>62</v>
      </c>
      <c r="K588">
        <v>483314</v>
      </c>
      <c r="M588">
        <v>5.46</v>
      </c>
      <c r="N588" t="s">
        <v>169</v>
      </c>
      <c r="P588" t="s">
        <v>87</v>
      </c>
      <c r="R588" t="s">
        <v>180</v>
      </c>
      <c r="W588">
        <v>0.0</v>
      </c>
      <c r="X588">
        <v>0.0</v>
      </c>
      <c r="Y588">
        <v>0.0</v>
      </c>
      <c r="Z588">
        <v>0.0</v>
      </c>
      <c r="AA588">
        <v>0.0</v>
      </c>
      <c r="AB588">
        <v>0.0</v>
      </c>
      <c r="AC588">
        <v>0.0</v>
      </c>
      <c r="AD588">
        <v>0.0</v>
      </c>
    </row>
    <row r="589" spans="1:33">
      <c r="A589" t="s">
        <v>1517</v>
      </c>
      <c r="B589" t="s">
        <v>1516</v>
      </c>
      <c r="C589" t="s">
        <v>35</v>
      </c>
      <c r="D589" t="s">
        <v>228</v>
      </c>
      <c r="E589" t="s">
        <v>37</v>
      </c>
      <c r="F589" t="s">
        <v>113</v>
      </c>
      <c r="G589" t="s">
        <v>37</v>
      </c>
      <c r="H589">
        <v>6</v>
      </c>
      <c r="J589" t="s">
        <v>72</v>
      </c>
      <c r="K589" t="s">
        <v>1518</v>
      </c>
      <c r="M589">
        <v>21.99</v>
      </c>
      <c r="N589" t="s">
        <v>169</v>
      </c>
      <c r="S589">
        <v>1250</v>
      </c>
      <c r="T589">
        <v>1</v>
      </c>
      <c r="U589">
        <v>1250</v>
      </c>
      <c r="V589">
        <v>1</v>
      </c>
      <c r="W589">
        <v>0.0</v>
      </c>
      <c r="X589">
        <v>0.0</v>
      </c>
      <c r="Y589">
        <v>0.0</v>
      </c>
      <c r="Z589">
        <v>0.0</v>
      </c>
      <c r="AA589">
        <v>0.0</v>
      </c>
      <c r="AB589">
        <v>0.0</v>
      </c>
      <c r="AC589">
        <v>0.0</v>
      </c>
      <c r="AD589">
        <v>0.0</v>
      </c>
    </row>
    <row r="590" spans="1:33">
      <c r="A590" t="s">
        <v>1519</v>
      </c>
      <c r="B590" t="s">
        <v>1520</v>
      </c>
      <c r="C590" t="s">
        <v>35</v>
      </c>
      <c r="D590" t="s">
        <v>36</v>
      </c>
      <c r="E590" t="s">
        <v>37</v>
      </c>
      <c r="F590" t="s">
        <v>113</v>
      </c>
      <c r="G590" t="s">
        <v>37</v>
      </c>
      <c r="J590" t="s">
        <v>478</v>
      </c>
      <c r="K590">
        <v>483314</v>
      </c>
      <c r="M590">
        <v>5.46</v>
      </c>
      <c r="N590" t="s">
        <v>169</v>
      </c>
      <c r="S590">
        <v>1250</v>
      </c>
      <c r="T590">
        <v>1</v>
      </c>
      <c r="U590">
        <v>1250</v>
      </c>
      <c r="V590">
        <v>1</v>
      </c>
      <c r="W590">
        <v>0.0</v>
      </c>
      <c r="X590">
        <v>0.0</v>
      </c>
      <c r="Y590">
        <v>0.0</v>
      </c>
      <c r="Z590">
        <v>0.0</v>
      </c>
      <c r="AA590">
        <v>0.0</v>
      </c>
      <c r="AB590">
        <v>0.0</v>
      </c>
      <c r="AC590">
        <v>0.0</v>
      </c>
      <c r="AD590">
        <v>0.0</v>
      </c>
    </row>
    <row r="591" spans="1:33">
      <c r="A591" t="s">
        <v>1521</v>
      </c>
      <c r="B591" t="s">
        <v>1522</v>
      </c>
      <c r="C591" t="s">
        <v>35</v>
      </c>
      <c r="D591" t="s">
        <v>168</v>
      </c>
      <c r="E591" t="s">
        <v>37</v>
      </c>
      <c r="F591" t="s">
        <v>113</v>
      </c>
      <c r="G591" t="s">
        <v>37</v>
      </c>
      <c r="J591" t="s">
        <v>51</v>
      </c>
      <c r="K591">
        <v>483314</v>
      </c>
      <c r="M591">
        <v>5.46</v>
      </c>
      <c r="N591" t="s">
        <v>169</v>
      </c>
    </row>
    <row r="592" spans="1:33">
      <c r="A592" t="s">
        <v>1523</v>
      </c>
      <c r="B592" t="s">
        <v>1524</v>
      </c>
      <c r="C592" t="s">
        <v>35</v>
      </c>
      <c r="D592" t="s">
        <v>168</v>
      </c>
      <c r="E592" t="s">
        <v>37</v>
      </c>
      <c r="F592" t="s">
        <v>113</v>
      </c>
      <c r="G592" t="s">
        <v>37</v>
      </c>
      <c r="J592" t="s">
        <v>76</v>
      </c>
      <c r="K592">
        <v>160112</v>
      </c>
      <c r="M592">
        <v>1.05</v>
      </c>
      <c r="N592" t="s">
        <v>169</v>
      </c>
      <c r="P592" t="s">
        <v>46</v>
      </c>
    </row>
    <row r="593" spans="1:33">
      <c r="A593" t="s">
        <v>1525</v>
      </c>
      <c r="B593" t="s">
        <v>1526</v>
      </c>
      <c r="C593" t="s">
        <v>35</v>
      </c>
      <c r="D593" t="s">
        <v>36</v>
      </c>
      <c r="E593" t="s">
        <v>37</v>
      </c>
      <c r="F593" t="s">
        <v>113</v>
      </c>
      <c r="G593" t="s">
        <v>37</v>
      </c>
      <c r="J593" t="s">
        <v>62</v>
      </c>
      <c r="K593">
        <v>603768</v>
      </c>
      <c r="M593">
        <v>10.73</v>
      </c>
      <c r="N593" t="s">
        <v>169</v>
      </c>
      <c r="P593" t="s">
        <v>87</v>
      </c>
      <c r="R593" t="s">
        <v>170</v>
      </c>
      <c r="W593">
        <v>0.0</v>
      </c>
      <c r="X593">
        <v>0.0</v>
      </c>
      <c r="Y593">
        <v>0.0</v>
      </c>
      <c r="Z593">
        <v>0.0</v>
      </c>
      <c r="AA593">
        <v>0.0</v>
      </c>
      <c r="AB593">
        <v>0.0</v>
      </c>
      <c r="AC593">
        <v>0.0</v>
      </c>
      <c r="AD593">
        <v>0.0</v>
      </c>
    </row>
    <row r="594" spans="1:33">
      <c r="A594" t="s">
        <v>1527</v>
      </c>
      <c r="B594" t="s">
        <v>1528</v>
      </c>
      <c r="C594" t="s">
        <v>35</v>
      </c>
      <c r="D594" t="s">
        <v>36</v>
      </c>
      <c r="E594" t="s">
        <v>37</v>
      </c>
      <c r="F594" t="s">
        <v>113</v>
      </c>
      <c r="G594" t="s">
        <v>37</v>
      </c>
      <c r="J594" t="s">
        <v>72</v>
      </c>
      <c r="K594" t="s">
        <v>1529</v>
      </c>
      <c r="M594">
        <v>3.68</v>
      </c>
      <c r="N594" t="s">
        <v>169</v>
      </c>
      <c r="S594">
        <v>1250</v>
      </c>
      <c r="T594">
        <v>1</v>
      </c>
      <c r="U594">
        <v>1250</v>
      </c>
      <c r="V594">
        <v>1</v>
      </c>
      <c r="W594">
        <v>0.0</v>
      </c>
      <c r="X594">
        <v>0.0</v>
      </c>
      <c r="Y594">
        <v>0.0</v>
      </c>
      <c r="Z594">
        <v>0.0</v>
      </c>
      <c r="AA594">
        <v>0.0</v>
      </c>
      <c r="AB594">
        <v>0.0</v>
      </c>
      <c r="AC594">
        <v>0.0</v>
      </c>
      <c r="AD594">
        <v>0.0</v>
      </c>
    </row>
    <row r="595" spans="1:33">
      <c r="A595" t="s">
        <v>1530</v>
      </c>
      <c r="B595" t="s">
        <v>1531</v>
      </c>
      <c r="C595" t="s">
        <v>35</v>
      </c>
      <c r="D595" t="s">
        <v>36</v>
      </c>
      <c r="E595" t="s">
        <v>37</v>
      </c>
      <c r="F595" t="s">
        <v>113</v>
      </c>
      <c r="G595" t="s">
        <v>37</v>
      </c>
      <c r="J595" t="s">
        <v>478</v>
      </c>
      <c r="K595">
        <v>603768</v>
      </c>
      <c r="M595">
        <v>10.73</v>
      </c>
      <c r="N595" t="s">
        <v>169</v>
      </c>
      <c r="S595">
        <v>1250</v>
      </c>
      <c r="T595">
        <v>1</v>
      </c>
      <c r="U595">
        <v>1250</v>
      </c>
      <c r="V595">
        <v>1</v>
      </c>
      <c r="W595">
        <v>0.0</v>
      </c>
      <c r="X595">
        <v>0.0</v>
      </c>
      <c r="Y595">
        <v>0.0</v>
      </c>
      <c r="Z595">
        <v>0.0</v>
      </c>
      <c r="AA595">
        <v>0.0</v>
      </c>
      <c r="AB595">
        <v>0.0</v>
      </c>
      <c r="AC595">
        <v>0.0</v>
      </c>
      <c r="AD595">
        <v>0.0</v>
      </c>
    </row>
    <row r="596" spans="1:33">
      <c r="A596" t="s">
        <v>1532</v>
      </c>
      <c r="B596" t="s">
        <v>1533</v>
      </c>
      <c r="C596" t="s">
        <v>35</v>
      </c>
      <c r="D596" t="s">
        <v>168</v>
      </c>
      <c r="E596" t="s">
        <v>37</v>
      </c>
      <c r="F596" t="s">
        <v>113</v>
      </c>
      <c r="G596" t="s">
        <v>37</v>
      </c>
      <c r="J596" t="s">
        <v>51</v>
      </c>
      <c r="K596">
        <v>603768</v>
      </c>
      <c r="M596">
        <v>10.73</v>
      </c>
      <c r="N596" t="s">
        <v>169</v>
      </c>
    </row>
    <row r="597" spans="1:33">
      <c r="A597" t="s">
        <v>1534</v>
      </c>
      <c r="B597" t="s">
        <v>1535</v>
      </c>
      <c r="C597" t="s">
        <v>35</v>
      </c>
      <c r="D597" t="s">
        <v>168</v>
      </c>
      <c r="E597" t="s">
        <v>37</v>
      </c>
      <c r="F597" t="s">
        <v>113</v>
      </c>
      <c r="G597" t="s">
        <v>37</v>
      </c>
      <c r="J597" t="s">
        <v>76</v>
      </c>
      <c r="K597" t="s">
        <v>1536</v>
      </c>
      <c r="M597">
        <v>26.83</v>
      </c>
      <c r="N597" t="s">
        <v>169</v>
      </c>
      <c r="P597" t="s">
        <v>46</v>
      </c>
    </row>
    <row r="598" spans="1:33">
      <c r="A598" t="s">
        <v>1537</v>
      </c>
      <c r="B598" t="s">
        <v>1538</v>
      </c>
      <c r="C598" t="s">
        <v>35</v>
      </c>
      <c r="D598" t="s">
        <v>36</v>
      </c>
      <c r="E598" t="s">
        <v>37</v>
      </c>
      <c r="F598" t="s">
        <v>113</v>
      </c>
      <c r="G598" t="s">
        <v>37</v>
      </c>
      <c r="J598" t="s">
        <v>62</v>
      </c>
      <c r="K598">
        <v>468405</v>
      </c>
      <c r="M598">
        <v>4.48</v>
      </c>
      <c r="N598" t="s">
        <v>169</v>
      </c>
      <c r="P598" t="s">
        <v>87</v>
      </c>
      <c r="R598" t="s">
        <v>48</v>
      </c>
      <c r="W598">
        <v>0.0</v>
      </c>
      <c r="X598">
        <v>0.0</v>
      </c>
      <c r="Y598">
        <v>0.0</v>
      </c>
      <c r="Z598">
        <v>0.0</v>
      </c>
      <c r="AA598">
        <v>0.0</v>
      </c>
      <c r="AB598">
        <v>0.0</v>
      </c>
      <c r="AC598">
        <v>0.0</v>
      </c>
      <c r="AD598">
        <v>0.0</v>
      </c>
    </row>
    <row r="599" spans="1:33">
      <c r="A599" t="s">
        <v>1539</v>
      </c>
      <c r="B599" t="s">
        <v>1538</v>
      </c>
      <c r="C599" t="s">
        <v>35</v>
      </c>
      <c r="D599" t="s">
        <v>228</v>
      </c>
      <c r="E599" t="s">
        <v>37</v>
      </c>
      <c r="F599" t="s">
        <v>113</v>
      </c>
      <c r="G599" t="s">
        <v>37</v>
      </c>
      <c r="H599">
        <v>8</v>
      </c>
      <c r="J599" t="s">
        <v>72</v>
      </c>
      <c r="K599" t="s">
        <v>1540</v>
      </c>
      <c r="M599">
        <v>6.38</v>
      </c>
      <c r="N599" t="s">
        <v>169</v>
      </c>
      <c r="S599">
        <v>2500</v>
      </c>
      <c r="T599">
        <v>1</v>
      </c>
      <c r="U599">
        <v>2500</v>
      </c>
      <c r="V599">
        <v>1</v>
      </c>
      <c r="W599">
        <v>0.0</v>
      </c>
      <c r="X599">
        <v>0.0</v>
      </c>
      <c r="Y599">
        <v>0.0</v>
      </c>
      <c r="Z599">
        <v>0.0</v>
      </c>
      <c r="AA599">
        <v>0.0</v>
      </c>
      <c r="AB599">
        <v>0.0</v>
      </c>
      <c r="AC599">
        <v>0.0</v>
      </c>
      <c r="AD599">
        <v>0.0</v>
      </c>
    </row>
    <row r="600" spans="1:33">
      <c r="A600" t="s">
        <v>1541</v>
      </c>
      <c r="B600" t="s">
        <v>1542</v>
      </c>
      <c r="C600" t="s">
        <v>35</v>
      </c>
      <c r="D600" t="s">
        <v>36</v>
      </c>
      <c r="E600" t="s">
        <v>37</v>
      </c>
      <c r="F600" t="s">
        <v>113</v>
      </c>
      <c r="G600" t="s">
        <v>37</v>
      </c>
      <c r="H600">
        <v>2</v>
      </c>
      <c r="J600" t="s">
        <v>478</v>
      </c>
      <c r="K600">
        <v>468405</v>
      </c>
      <c r="M600">
        <v>2.24</v>
      </c>
      <c r="N600" t="s">
        <v>169</v>
      </c>
      <c r="S600">
        <v>2500</v>
      </c>
      <c r="T600">
        <v>1</v>
      </c>
      <c r="U600">
        <v>2500</v>
      </c>
      <c r="V600">
        <v>1</v>
      </c>
      <c r="W600">
        <v>0.0</v>
      </c>
      <c r="X600">
        <v>0.0</v>
      </c>
      <c r="Y600">
        <v>0.0</v>
      </c>
      <c r="Z600">
        <v>0.0</v>
      </c>
      <c r="AA600">
        <v>0.0</v>
      </c>
      <c r="AB600">
        <v>0.0</v>
      </c>
      <c r="AC600">
        <v>0.0</v>
      </c>
      <c r="AD600">
        <v>0.0</v>
      </c>
    </row>
    <row r="601" spans="1:33">
      <c r="A601" t="s">
        <v>1543</v>
      </c>
      <c r="B601" t="s">
        <v>1544</v>
      </c>
      <c r="C601" t="s">
        <v>35</v>
      </c>
      <c r="D601" t="s">
        <v>168</v>
      </c>
      <c r="E601" t="s">
        <v>37</v>
      </c>
      <c r="F601" t="s">
        <v>113</v>
      </c>
      <c r="G601" t="s">
        <v>37</v>
      </c>
      <c r="H601">
        <v>2</v>
      </c>
      <c r="J601" t="s">
        <v>51</v>
      </c>
      <c r="K601">
        <v>468405</v>
      </c>
      <c r="M601">
        <v>4.48</v>
      </c>
      <c r="N601" t="s">
        <v>169</v>
      </c>
      <c r="W601">
        <v>0.0</v>
      </c>
      <c r="X601">
        <v>0.0</v>
      </c>
      <c r="Y601">
        <v>0.0</v>
      </c>
      <c r="Z601">
        <v>0.0</v>
      </c>
      <c r="AA601">
        <v>0.0</v>
      </c>
      <c r="AB601">
        <v>0.0</v>
      </c>
      <c r="AC601">
        <v>0.0</v>
      </c>
      <c r="AD601">
        <v>0.0</v>
      </c>
    </row>
    <row r="602" spans="1:33">
      <c r="A602" t="s">
        <v>1545</v>
      </c>
      <c r="B602" t="s">
        <v>1546</v>
      </c>
      <c r="C602" t="s">
        <v>35</v>
      </c>
      <c r="D602" t="s">
        <v>168</v>
      </c>
      <c r="E602" t="s">
        <v>37</v>
      </c>
      <c r="F602" t="s">
        <v>113</v>
      </c>
      <c r="G602" t="s">
        <v>37</v>
      </c>
      <c r="J602" t="s">
        <v>76</v>
      </c>
      <c r="K602">
        <v>601005</v>
      </c>
      <c r="M602">
        <v>2.8</v>
      </c>
      <c r="N602" t="s">
        <v>169</v>
      </c>
      <c r="P602" t="s">
        <v>46</v>
      </c>
    </row>
    <row r="603" spans="1:33">
      <c r="A603" t="s">
        <v>1547</v>
      </c>
      <c r="B603" t="s">
        <v>1548</v>
      </c>
      <c r="C603" t="s">
        <v>35</v>
      </c>
      <c r="D603" t="s">
        <v>36</v>
      </c>
      <c r="E603" t="s">
        <v>37</v>
      </c>
      <c r="F603" t="s">
        <v>113</v>
      </c>
      <c r="G603" t="s">
        <v>37</v>
      </c>
      <c r="J603" t="s">
        <v>62</v>
      </c>
      <c r="K603">
        <v>857387</v>
      </c>
      <c r="M603">
        <v>3.48</v>
      </c>
      <c r="N603" t="s">
        <v>169</v>
      </c>
      <c r="P603" t="s">
        <v>87</v>
      </c>
      <c r="R603" t="s">
        <v>170</v>
      </c>
      <c r="W603">
        <v>0.0</v>
      </c>
      <c r="X603">
        <v>0.0</v>
      </c>
      <c r="Y603">
        <v>0.0</v>
      </c>
      <c r="Z603">
        <v>0.0</v>
      </c>
      <c r="AA603">
        <v>0.0</v>
      </c>
      <c r="AB603">
        <v>0.0</v>
      </c>
      <c r="AC603">
        <v>0.0</v>
      </c>
      <c r="AD603">
        <v>0.0</v>
      </c>
    </row>
    <row r="604" spans="1:33">
      <c r="A604" t="s">
        <v>1549</v>
      </c>
      <c r="B604" t="s">
        <v>1548</v>
      </c>
      <c r="C604" t="s">
        <v>35</v>
      </c>
      <c r="D604" t="s">
        <v>36</v>
      </c>
      <c r="E604" t="s">
        <v>37</v>
      </c>
      <c r="F604" t="s">
        <v>113</v>
      </c>
      <c r="G604" t="s">
        <v>37</v>
      </c>
      <c r="J604" t="s">
        <v>72</v>
      </c>
      <c r="K604" t="s">
        <v>1550</v>
      </c>
      <c r="M604">
        <v>7.53</v>
      </c>
      <c r="N604" t="s">
        <v>169</v>
      </c>
      <c r="S604">
        <v>2500</v>
      </c>
      <c r="T604">
        <v>1</v>
      </c>
      <c r="U604">
        <v>2500</v>
      </c>
      <c r="V604">
        <v>1</v>
      </c>
      <c r="W604">
        <v>0.0</v>
      </c>
      <c r="X604">
        <v>0.0</v>
      </c>
      <c r="Y604">
        <v>0.0</v>
      </c>
      <c r="Z604">
        <v>0.0</v>
      </c>
      <c r="AA604">
        <v>0.0</v>
      </c>
      <c r="AB604">
        <v>0.0</v>
      </c>
      <c r="AC604">
        <v>0.0</v>
      </c>
      <c r="AD604">
        <v>0.0</v>
      </c>
    </row>
    <row r="605" spans="1:33">
      <c r="A605" t="s">
        <v>1551</v>
      </c>
      <c r="B605" t="s">
        <v>1552</v>
      </c>
      <c r="C605" t="s">
        <v>35</v>
      </c>
      <c r="D605" t="s">
        <v>36</v>
      </c>
      <c r="E605" t="s">
        <v>37</v>
      </c>
      <c r="F605" t="s">
        <v>113</v>
      </c>
      <c r="G605" t="s">
        <v>37</v>
      </c>
      <c r="J605" t="s">
        <v>478</v>
      </c>
      <c r="K605">
        <v>857387</v>
      </c>
      <c r="M605">
        <v>3.48</v>
      </c>
      <c r="N605" t="s">
        <v>169</v>
      </c>
      <c r="S605">
        <v>2500</v>
      </c>
      <c r="T605">
        <v>1</v>
      </c>
      <c r="U605">
        <v>2500</v>
      </c>
      <c r="V605">
        <v>1</v>
      </c>
      <c r="W605">
        <v>0.0</v>
      </c>
      <c r="X605">
        <v>0.0</v>
      </c>
      <c r="Y605">
        <v>0.0</v>
      </c>
      <c r="Z605">
        <v>0.0</v>
      </c>
      <c r="AA605">
        <v>0.0</v>
      </c>
      <c r="AB605">
        <v>0.0</v>
      </c>
      <c r="AC605">
        <v>0.0</v>
      </c>
      <c r="AD605">
        <v>0.0</v>
      </c>
    </row>
    <row r="606" spans="1:33">
      <c r="A606" t="s">
        <v>1553</v>
      </c>
      <c r="B606" t="s">
        <v>1554</v>
      </c>
      <c r="C606" t="s">
        <v>35</v>
      </c>
      <c r="D606" t="s">
        <v>168</v>
      </c>
      <c r="E606" t="s">
        <v>37</v>
      </c>
      <c r="F606" t="s">
        <v>113</v>
      </c>
      <c r="G606" t="s">
        <v>37</v>
      </c>
      <c r="J606" t="s">
        <v>51</v>
      </c>
      <c r="K606">
        <v>857387</v>
      </c>
      <c r="M606">
        <v>3.48</v>
      </c>
      <c r="N606" t="s">
        <v>169</v>
      </c>
    </row>
    <row r="607" spans="1:33">
      <c r="A607" t="s">
        <v>1555</v>
      </c>
      <c r="B607" t="s">
        <v>1556</v>
      </c>
      <c r="C607" t="s">
        <v>35</v>
      </c>
      <c r="D607" t="s">
        <v>168</v>
      </c>
      <c r="E607" t="s">
        <v>37</v>
      </c>
      <c r="F607" t="s">
        <v>113</v>
      </c>
      <c r="G607" t="s">
        <v>37</v>
      </c>
      <c r="J607" t="s">
        <v>76</v>
      </c>
      <c r="K607">
        <v>28433002</v>
      </c>
      <c r="M607">
        <v>17.2</v>
      </c>
      <c r="N607" t="s">
        <v>169</v>
      </c>
      <c r="P607" t="s">
        <v>46</v>
      </c>
    </row>
    <row r="608" spans="1:33">
      <c r="A608" t="s">
        <v>1557</v>
      </c>
      <c r="B608" t="s">
        <v>1558</v>
      </c>
      <c r="C608" t="s">
        <v>35</v>
      </c>
      <c r="D608" t="s">
        <v>1559</v>
      </c>
      <c r="E608" t="s">
        <v>37</v>
      </c>
      <c r="F608" t="s">
        <v>113</v>
      </c>
      <c r="G608" t="s">
        <v>37</v>
      </c>
      <c r="H608">
        <v>12</v>
      </c>
      <c r="J608" t="s">
        <v>72</v>
      </c>
      <c r="K608" t="s">
        <v>1560</v>
      </c>
      <c r="M608">
        <v>1.14</v>
      </c>
      <c r="N608" t="s">
        <v>169</v>
      </c>
      <c r="S608">
        <v>5000</v>
      </c>
      <c r="T608">
        <v>1</v>
      </c>
      <c r="U608">
        <v>5000</v>
      </c>
      <c r="V608">
        <v>1</v>
      </c>
      <c r="W608">
        <v>0.0</v>
      </c>
      <c r="X608">
        <v>0.0</v>
      </c>
      <c r="Y608">
        <v>0.0</v>
      </c>
      <c r="Z608">
        <v>0.0</v>
      </c>
      <c r="AA608">
        <v>0.0</v>
      </c>
      <c r="AB608">
        <v>0.0</v>
      </c>
      <c r="AC608">
        <v>0.0</v>
      </c>
      <c r="AD608">
        <v>0.0</v>
      </c>
    </row>
    <row r="609" spans="1:33">
      <c r="A609" t="s">
        <v>1561</v>
      </c>
      <c r="B609" t="s">
        <v>1562</v>
      </c>
      <c r="C609" t="s">
        <v>35</v>
      </c>
      <c r="D609" t="s">
        <v>1559</v>
      </c>
      <c r="E609" t="s">
        <v>37</v>
      </c>
      <c r="F609" t="s">
        <v>113</v>
      </c>
      <c r="G609" t="s">
        <v>37</v>
      </c>
      <c r="H609">
        <v>12</v>
      </c>
      <c r="J609" t="s">
        <v>478</v>
      </c>
      <c r="K609">
        <v>394221</v>
      </c>
      <c r="M609">
        <v>3.38</v>
      </c>
      <c r="N609" t="s">
        <v>169</v>
      </c>
      <c r="S609">
        <v>5000</v>
      </c>
      <c r="T609">
        <v>1</v>
      </c>
      <c r="U609">
        <v>5000</v>
      </c>
      <c r="V609">
        <v>1</v>
      </c>
      <c r="W609">
        <v>0.0</v>
      </c>
      <c r="X609">
        <v>0.0</v>
      </c>
      <c r="Y609">
        <v>0.0</v>
      </c>
      <c r="Z609">
        <v>0.0</v>
      </c>
      <c r="AA609">
        <v>0.0</v>
      </c>
      <c r="AB609">
        <v>0.0</v>
      </c>
      <c r="AC609">
        <v>0.0</v>
      </c>
      <c r="AD609">
        <v>0.0</v>
      </c>
    </row>
    <row r="610" spans="1:33">
      <c r="A610" t="s">
        <v>1563</v>
      </c>
      <c r="B610" t="s">
        <v>1564</v>
      </c>
      <c r="C610" t="s">
        <v>35</v>
      </c>
      <c r="D610" t="s">
        <v>1559</v>
      </c>
      <c r="E610" t="s">
        <v>37</v>
      </c>
      <c r="F610" t="s">
        <v>113</v>
      </c>
      <c r="G610" t="s">
        <v>37</v>
      </c>
      <c r="J610" t="s">
        <v>51</v>
      </c>
      <c r="K610">
        <v>394221</v>
      </c>
      <c r="M610">
        <v>3.38</v>
      </c>
      <c r="N610" t="s">
        <v>169</v>
      </c>
    </row>
    <row r="611" spans="1:33">
      <c r="A611" t="s">
        <v>1565</v>
      </c>
      <c r="B611" t="s">
        <v>1566</v>
      </c>
      <c r="C611" t="s">
        <v>35</v>
      </c>
      <c r="D611" t="s">
        <v>1559</v>
      </c>
      <c r="E611" t="s">
        <v>37</v>
      </c>
      <c r="F611" t="s">
        <v>113</v>
      </c>
      <c r="G611" t="s">
        <v>37</v>
      </c>
      <c r="J611" t="s">
        <v>76</v>
      </c>
      <c r="K611">
        <v>1590003</v>
      </c>
      <c r="M611">
        <v>0.47</v>
      </c>
      <c r="N611" t="s">
        <v>169</v>
      </c>
      <c r="P611" t="s">
        <v>46</v>
      </c>
    </row>
    <row r="612" spans="1:33">
      <c r="A612" t="s">
        <v>1567</v>
      </c>
      <c r="B612" t="s">
        <v>1568</v>
      </c>
      <c r="C612" t="s">
        <v>35</v>
      </c>
      <c r="D612" t="s">
        <v>228</v>
      </c>
      <c r="E612" t="s">
        <v>37</v>
      </c>
      <c r="F612" t="s">
        <v>113</v>
      </c>
      <c r="G612" t="s">
        <v>37</v>
      </c>
      <c r="J612" t="s">
        <v>62</v>
      </c>
      <c r="K612">
        <v>506790</v>
      </c>
      <c r="M612">
        <v>39.99</v>
      </c>
      <c r="N612" t="s">
        <v>169</v>
      </c>
      <c r="P612" t="s">
        <v>87</v>
      </c>
      <c r="R612" t="s">
        <v>170</v>
      </c>
      <c r="W612">
        <v>0.0</v>
      </c>
      <c r="X612">
        <v>0.0</v>
      </c>
      <c r="Y612">
        <v>0.0</v>
      </c>
      <c r="Z612">
        <v>0.0</v>
      </c>
      <c r="AA612">
        <v>0.0</v>
      </c>
      <c r="AB612">
        <v>0.0</v>
      </c>
      <c r="AC612">
        <v>0.0</v>
      </c>
      <c r="AD612">
        <v>0.0</v>
      </c>
    </row>
    <row r="613" spans="1:33">
      <c r="A613" t="s">
        <v>1569</v>
      </c>
      <c r="B613" t="s">
        <v>1570</v>
      </c>
      <c r="C613" t="s">
        <v>35</v>
      </c>
      <c r="D613" t="s">
        <v>36</v>
      </c>
      <c r="E613" t="s">
        <v>37</v>
      </c>
      <c r="F613" t="s">
        <v>113</v>
      </c>
      <c r="G613" t="s">
        <v>37</v>
      </c>
      <c r="H613">
        <v>2</v>
      </c>
      <c r="J613" t="s">
        <v>478</v>
      </c>
      <c r="K613">
        <v>506790</v>
      </c>
      <c r="M613">
        <v>20</v>
      </c>
      <c r="N613" t="s">
        <v>169</v>
      </c>
      <c r="S613">
        <v>1250</v>
      </c>
      <c r="T613">
        <v>1</v>
      </c>
      <c r="U613">
        <v>1250</v>
      </c>
      <c r="V613">
        <v>1</v>
      </c>
      <c r="W613">
        <v>0.0</v>
      </c>
      <c r="X613">
        <v>0.0</v>
      </c>
      <c r="Y613">
        <v>0.0</v>
      </c>
      <c r="Z613">
        <v>0.0</v>
      </c>
      <c r="AA613">
        <v>0.0</v>
      </c>
      <c r="AB613">
        <v>0.0</v>
      </c>
      <c r="AC613">
        <v>0.0</v>
      </c>
      <c r="AD613">
        <v>0.0</v>
      </c>
    </row>
    <row r="614" spans="1:33">
      <c r="A614" t="s">
        <v>1571</v>
      </c>
      <c r="B614" t="s">
        <v>1572</v>
      </c>
      <c r="C614" t="s">
        <v>35</v>
      </c>
      <c r="D614" t="s">
        <v>1559</v>
      </c>
      <c r="E614" t="s">
        <v>37</v>
      </c>
      <c r="F614" t="s">
        <v>113</v>
      </c>
      <c r="G614" t="s">
        <v>37</v>
      </c>
      <c r="H614">
        <v>1</v>
      </c>
      <c r="J614" t="s">
        <v>51</v>
      </c>
      <c r="K614">
        <v>506790</v>
      </c>
      <c r="M614">
        <v>39.99</v>
      </c>
      <c r="N614" t="s">
        <v>169</v>
      </c>
      <c r="W614">
        <v>0.0</v>
      </c>
      <c r="X614">
        <v>0.0</v>
      </c>
      <c r="Y614">
        <v>0.0</v>
      </c>
      <c r="Z614">
        <v>0.0</v>
      </c>
      <c r="AA614">
        <v>0.0</v>
      </c>
      <c r="AB614">
        <v>0.0</v>
      </c>
      <c r="AC614">
        <v>0.0</v>
      </c>
      <c r="AD614">
        <v>0.0</v>
      </c>
    </row>
    <row r="615" spans="1:33">
      <c r="A615" t="s">
        <v>1573</v>
      </c>
      <c r="B615" t="s">
        <v>1574</v>
      </c>
      <c r="C615" t="s">
        <v>35</v>
      </c>
      <c r="D615" t="s">
        <v>228</v>
      </c>
      <c r="E615" t="s">
        <v>37</v>
      </c>
      <c r="F615" t="s">
        <v>113</v>
      </c>
      <c r="G615" t="s">
        <v>37</v>
      </c>
      <c r="H615">
        <v>2</v>
      </c>
      <c r="J615" t="s">
        <v>72</v>
      </c>
      <c r="K615" t="s">
        <v>1575</v>
      </c>
      <c r="M615">
        <v>57.07</v>
      </c>
      <c r="N615" t="s">
        <v>169</v>
      </c>
      <c r="P615" t="s">
        <v>46</v>
      </c>
    </row>
    <row r="616" spans="1:33">
      <c r="A616" t="s">
        <v>1576</v>
      </c>
      <c r="B616" t="s">
        <v>1577</v>
      </c>
      <c r="C616" t="s">
        <v>35</v>
      </c>
      <c r="D616" t="s">
        <v>36</v>
      </c>
      <c r="E616" t="s">
        <v>37</v>
      </c>
      <c r="F616" t="s">
        <v>113</v>
      </c>
      <c r="G616" t="s">
        <v>37</v>
      </c>
      <c r="J616" t="s">
        <v>76</v>
      </c>
      <c r="K616">
        <v>6851</v>
      </c>
      <c r="M616">
        <v>12.48</v>
      </c>
      <c r="N616" t="s">
        <v>169</v>
      </c>
      <c r="P616" t="s">
        <v>46</v>
      </c>
    </row>
    <row r="617" spans="1:33">
      <c r="A617" t="s">
        <v>1578</v>
      </c>
      <c r="B617" t="s">
        <v>1579</v>
      </c>
      <c r="C617" t="s">
        <v>35</v>
      </c>
      <c r="D617" t="s">
        <v>1580</v>
      </c>
      <c r="E617" t="s">
        <v>37</v>
      </c>
      <c r="F617" t="s">
        <v>113</v>
      </c>
      <c r="G617" t="s">
        <v>37</v>
      </c>
      <c r="J617" t="s">
        <v>62</v>
      </c>
      <c r="K617">
        <v>135855</v>
      </c>
      <c r="M617">
        <v>5.49</v>
      </c>
      <c r="N617" t="s">
        <v>169</v>
      </c>
      <c r="P617" t="s">
        <v>87</v>
      </c>
      <c r="R617" t="s">
        <v>170</v>
      </c>
      <c r="W617">
        <v>0.0</v>
      </c>
      <c r="X617">
        <v>0.0</v>
      </c>
      <c r="Y617">
        <v>0.0</v>
      </c>
      <c r="Z617">
        <v>0.0</v>
      </c>
      <c r="AA617">
        <v>0.0</v>
      </c>
      <c r="AB617">
        <v>0.0</v>
      </c>
      <c r="AC617">
        <v>0.0</v>
      </c>
      <c r="AD617">
        <v>0.0</v>
      </c>
    </row>
    <row r="618" spans="1:33">
      <c r="A618" t="s">
        <v>1581</v>
      </c>
      <c r="B618" t="s">
        <v>1582</v>
      </c>
      <c r="C618" t="s">
        <v>35</v>
      </c>
      <c r="D618" t="s">
        <v>1580</v>
      </c>
      <c r="E618" t="s">
        <v>37</v>
      </c>
      <c r="F618" t="s">
        <v>113</v>
      </c>
      <c r="G618" t="s">
        <v>37</v>
      </c>
      <c r="H618">
        <v>500</v>
      </c>
      <c r="J618" t="s">
        <v>72</v>
      </c>
      <c r="K618" t="s">
        <v>1583</v>
      </c>
      <c r="M618">
        <v>4.81</v>
      </c>
      <c r="N618" t="s">
        <v>169</v>
      </c>
      <c r="S618">
        <v>512</v>
      </c>
      <c r="T618">
        <v>1</v>
      </c>
      <c r="U618">
        <v>512</v>
      </c>
      <c r="V618">
        <v>1</v>
      </c>
      <c r="W618">
        <v>0.0</v>
      </c>
      <c r="X618">
        <v>0.0</v>
      </c>
      <c r="Y618">
        <v>0.0</v>
      </c>
      <c r="Z618">
        <v>0.0</v>
      </c>
      <c r="AA618">
        <v>0.0</v>
      </c>
      <c r="AB618">
        <v>0.0</v>
      </c>
      <c r="AC618">
        <v>0.0</v>
      </c>
      <c r="AD618">
        <v>0.0</v>
      </c>
    </row>
    <row r="619" spans="1:33">
      <c r="A619" t="s">
        <v>1584</v>
      </c>
      <c r="B619" t="s">
        <v>1585</v>
      </c>
      <c r="C619" t="s">
        <v>35</v>
      </c>
      <c r="D619" t="s">
        <v>1580</v>
      </c>
      <c r="E619" t="s">
        <v>37</v>
      </c>
      <c r="F619" t="s">
        <v>113</v>
      </c>
      <c r="G619" t="s">
        <v>37</v>
      </c>
      <c r="J619" t="s">
        <v>478</v>
      </c>
      <c r="K619">
        <v>135855</v>
      </c>
      <c r="M619">
        <v>5.49</v>
      </c>
      <c r="N619" t="s">
        <v>169</v>
      </c>
      <c r="S619">
        <v>512</v>
      </c>
      <c r="T619">
        <v>1</v>
      </c>
      <c r="U619">
        <v>512</v>
      </c>
      <c r="V619">
        <v>1</v>
      </c>
      <c r="W619">
        <v>0.0</v>
      </c>
      <c r="X619">
        <v>0.0</v>
      </c>
      <c r="Y619">
        <v>0.0</v>
      </c>
      <c r="Z619">
        <v>0.0</v>
      </c>
      <c r="AA619">
        <v>0.0</v>
      </c>
      <c r="AB619">
        <v>0.0</v>
      </c>
      <c r="AC619">
        <v>0.0</v>
      </c>
      <c r="AD619">
        <v>0.0</v>
      </c>
    </row>
    <row r="620" spans="1:33">
      <c r="A620" t="s">
        <v>1586</v>
      </c>
      <c r="B620" t="s">
        <v>1587</v>
      </c>
      <c r="C620" t="s">
        <v>35</v>
      </c>
      <c r="D620" t="s">
        <v>1580</v>
      </c>
      <c r="E620" t="s">
        <v>37</v>
      </c>
      <c r="F620" t="s">
        <v>113</v>
      </c>
      <c r="G620" t="s">
        <v>37</v>
      </c>
      <c r="J620" t="s">
        <v>51</v>
      </c>
      <c r="K620">
        <v>135855</v>
      </c>
      <c r="M620">
        <v>5.49</v>
      </c>
      <c r="N620" t="s">
        <v>169</v>
      </c>
      <c r="W620">
        <v>0.0</v>
      </c>
      <c r="X620">
        <v>0.0</v>
      </c>
      <c r="Y620">
        <v>0.0</v>
      </c>
      <c r="Z620">
        <v>0.0</v>
      </c>
      <c r="AA620">
        <v>0.0</v>
      </c>
      <c r="AB620">
        <v>0.0</v>
      </c>
      <c r="AC620">
        <v>0.0</v>
      </c>
      <c r="AD620">
        <v>0.0</v>
      </c>
    </row>
    <row r="621" spans="1:33">
      <c r="A621" t="s">
        <v>1588</v>
      </c>
      <c r="B621" t="s">
        <v>1589</v>
      </c>
      <c r="C621" t="s">
        <v>35</v>
      </c>
      <c r="D621" t="s">
        <v>1580</v>
      </c>
      <c r="E621" t="s">
        <v>37</v>
      </c>
      <c r="F621" t="s">
        <v>113</v>
      </c>
      <c r="G621" t="s">
        <v>37</v>
      </c>
      <c r="J621" t="s">
        <v>76</v>
      </c>
      <c r="K621">
        <v>2306</v>
      </c>
      <c r="M621">
        <v>5.19</v>
      </c>
      <c r="N621" t="s">
        <v>169</v>
      </c>
      <c r="P621" t="s">
        <v>46</v>
      </c>
    </row>
    <row r="622" spans="1:33">
      <c r="A622" t="s">
        <v>1590</v>
      </c>
      <c r="B622" t="s">
        <v>1591</v>
      </c>
      <c r="C622" t="s">
        <v>35</v>
      </c>
      <c r="D622" t="s">
        <v>1580</v>
      </c>
      <c r="E622" t="s">
        <v>37</v>
      </c>
      <c r="F622" t="s">
        <v>113</v>
      </c>
      <c r="G622" t="s">
        <v>37</v>
      </c>
      <c r="J622" t="s">
        <v>62</v>
      </c>
      <c r="K622">
        <v>512211</v>
      </c>
      <c r="M622">
        <v>11.9</v>
      </c>
      <c r="N622" t="s">
        <v>169</v>
      </c>
      <c r="P622" t="s">
        <v>87</v>
      </c>
      <c r="R622" t="s">
        <v>170</v>
      </c>
      <c r="W622">
        <v>0.0</v>
      </c>
      <c r="X622">
        <v>0.0</v>
      </c>
      <c r="Y622">
        <v>0.0</v>
      </c>
      <c r="Z622">
        <v>0.0</v>
      </c>
      <c r="AA622">
        <v>0.0</v>
      </c>
      <c r="AB622">
        <v>0.0</v>
      </c>
      <c r="AC622">
        <v>0.0</v>
      </c>
      <c r="AD622">
        <v>0.0</v>
      </c>
    </row>
    <row r="623" spans="1:33">
      <c r="A623" t="s">
        <v>1592</v>
      </c>
      <c r="B623" t="s">
        <v>1593</v>
      </c>
      <c r="C623" t="s">
        <v>35</v>
      </c>
      <c r="D623" t="s">
        <v>1580</v>
      </c>
      <c r="E623" t="s">
        <v>37</v>
      </c>
      <c r="F623" t="s">
        <v>113</v>
      </c>
      <c r="G623" t="s">
        <v>37</v>
      </c>
      <c r="H623">
        <v>500</v>
      </c>
      <c r="J623" t="s">
        <v>72</v>
      </c>
      <c r="K623" t="s">
        <v>1594</v>
      </c>
      <c r="M623">
        <v>10.73</v>
      </c>
      <c r="N623" t="s">
        <v>169</v>
      </c>
      <c r="S623">
        <v>192</v>
      </c>
      <c r="T623">
        <v>1</v>
      </c>
      <c r="U623">
        <v>192</v>
      </c>
      <c r="V623">
        <v>1</v>
      </c>
      <c r="W623">
        <v>0.0</v>
      </c>
      <c r="X623">
        <v>0.0</v>
      </c>
      <c r="Y623">
        <v>0.0</v>
      </c>
      <c r="Z623">
        <v>0.0</v>
      </c>
      <c r="AA623">
        <v>0.0</v>
      </c>
      <c r="AB623">
        <v>0.0</v>
      </c>
      <c r="AC623">
        <v>0.0</v>
      </c>
      <c r="AD623">
        <v>0.0</v>
      </c>
    </row>
    <row r="624" spans="1:33">
      <c r="A624" t="s">
        <v>1595</v>
      </c>
      <c r="B624" t="s">
        <v>1596</v>
      </c>
      <c r="C624" t="s">
        <v>35</v>
      </c>
      <c r="D624" t="s">
        <v>1580</v>
      </c>
      <c r="E624" t="s">
        <v>37</v>
      </c>
      <c r="F624" t="s">
        <v>113</v>
      </c>
      <c r="G624" t="s">
        <v>37</v>
      </c>
      <c r="J624" t="s">
        <v>478</v>
      </c>
      <c r="K624">
        <v>512211</v>
      </c>
      <c r="M624">
        <v>11.9</v>
      </c>
      <c r="N624" t="s">
        <v>169</v>
      </c>
      <c r="S624">
        <v>192</v>
      </c>
      <c r="T624">
        <v>1</v>
      </c>
      <c r="U624">
        <v>192</v>
      </c>
      <c r="V624">
        <v>1</v>
      </c>
      <c r="W624">
        <v>0.0</v>
      </c>
      <c r="X624">
        <v>0.0</v>
      </c>
      <c r="Y624">
        <v>0.0</v>
      </c>
      <c r="Z624">
        <v>0.0</v>
      </c>
      <c r="AA624">
        <v>0.0</v>
      </c>
      <c r="AB624">
        <v>0.0</v>
      </c>
      <c r="AC624">
        <v>0.0</v>
      </c>
      <c r="AD624">
        <v>0.0</v>
      </c>
    </row>
    <row r="625" spans="1:33">
      <c r="A625" t="s">
        <v>1597</v>
      </c>
      <c r="B625" t="s">
        <v>1598</v>
      </c>
      <c r="C625" t="s">
        <v>35</v>
      </c>
      <c r="D625" t="s">
        <v>1580</v>
      </c>
      <c r="E625" t="s">
        <v>37</v>
      </c>
      <c r="F625" t="s">
        <v>113</v>
      </c>
      <c r="G625" t="s">
        <v>37</v>
      </c>
      <c r="J625" t="s">
        <v>51</v>
      </c>
      <c r="K625">
        <v>512211</v>
      </c>
      <c r="M625">
        <v>11.9</v>
      </c>
      <c r="N625" t="s">
        <v>169</v>
      </c>
    </row>
    <row r="626" spans="1:33">
      <c r="A626" t="s">
        <v>1599</v>
      </c>
      <c r="B626" t="s">
        <v>1600</v>
      </c>
      <c r="C626" t="s">
        <v>35</v>
      </c>
      <c r="D626" t="s">
        <v>1580</v>
      </c>
      <c r="E626" t="s">
        <v>37</v>
      </c>
      <c r="F626" t="s">
        <v>113</v>
      </c>
      <c r="G626" t="s">
        <v>37</v>
      </c>
      <c r="J626" t="s">
        <v>76</v>
      </c>
      <c r="K626">
        <v>108210</v>
      </c>
      <c r="M626">
        <v>12.83</v>
      </c>
      <c r="N626" t="s">
        <v>169</v>
      </c>
      <c r="P626" t="s">
        <v>46</v>
      </c>
      <c r="W626">
        <v>0.0</v>
      </c>
      <c r="X626">
        <v>0.0</v>
      </c>
      <c r="Y626">
        <v>0.0</v>
      </c>
      <c r="Z626">
        <v>0.0</v>
      </c>
      <c r="AA626">
        <v>0.0</v>
      </c>
      <c r="AB626">
        <v>0.0</v>
      </c>
      <c r="AC626">
        <v>0.0</v>
      </c>
      <c r="AD626">
        <v>0.0</v>
      </c>
    </row>
    <row r="627" spans="1:33">
      <c r="A627" t="s">
        <v>1601</v>
      </c>
      <c r="B627" t="s">
        <v>1602</v>
      </c>
      <c r="C627" t="s">
        <v>35</v>
      </c>
      <c r="D627" t="s">
        <v>36</v>
      </c>
      <c r="E627" t="s">
        <v>37</v>
      </c>
      <c r="F627" t="s">
        <v>113</v>
      </c>
      <c r="G627" t="s">
        <v>37</v>
      </c>
      <c r="H627">
        <v>1</v>
      </c>
      <c r="J627" t="s">
        <v>72</v>
      </c>
      <c r="K627" t="s">
        <v>1603</v>
      </c>
      <c r="M627">
        <v>1.02</v>
      </c>
      <c r="N627" t="s">
        <v>169</v>
      </c>
      <c r="S627">
        <v>1250</v>
      </c>
      <c r="T627">
        <v>1</v>
      </c>
      <c r="U627">
        <v>1250</v>
      </c>
      <c r="V627">
        <v>1</v>
      </c>
      <c r="W627">
        <v>0.0</v>
      </c>
      <c r="X627">
        <v>0.0</v>
      </c>
      <c r="Y627">
        <v>0.0</v>
      </c>
      <c r="Z627">
        <v>0.0</v>
      </c>
      <c r="AA627">
        <v>0.0</v>
      </c>
      <c r="AB627">
        <v>0.0</v>
      </c>
      <c r="AC627">
        <v>0.0</v>
      </c>
      <c r="AD627">
        <v>0.0</v>
      </c>
    </row>
    <row r="628" spans="1:33">
      <c r="A628" t="s">
        <v>1604</v>
      </c>
      <c r="B628" t="s">
        <v>1605</v>
      </c>
      <c r="C628" t="s">
        <v>35</v>
      </c>
      <c r="D628" t="s">
        <v>36</v>
      </c>
      <c r="E628" t="s">
        <v>37</v>
      </c>
      <c r="F628" t="s">
        <v>113</v>
      </c>
      <c r="G628" t="s">
        <v>37</v>
      </c>
      <c r="H628">
        <v>1</v>
      </c>
      <c r="J628" t="s">
        <v>478</v>
      </c>
      <c r="K628">
        <v>2772895</v>
      </c>
      <c r="M628">
        <v>1.25</v>
      </c>
      <c r="N628" t="s">
        <v>169</v>
      </c>
      <c r="S628">
        <v>1250</v>
      </c>
      <c r="T628">
        <v>1</v>
      </c>
      <c r="U628">
        <v>1250</v>
      </c>
      <c r="V628">
        <v>1</v>
      </c>
      <c r="W628">
        <v>0.0</v>
      </c>
      <c r="X628">
        <v>0.0</v>
      </c>
      <c r="Y628">
        <v>0.0</v>
      </c>
      <c r="Z628">
        <v>0.0</v>
      </c>
      <c r="AA628">
        <v>0.0</v>
      </c>
      <c r="AB628">
        <v>0.0</v>
      </c>
      <c r="AC628">
        <v>0.0</v>
      </c>
      <c r="AD628">
        <v>0.0</v>
      </c>
    </row>
    <row r="629" spans="1:33">
      <c r="A629" t="s">
        <v>1606</v>
      </c>
      <c r="B629" t="s">
        <v>1607</v>
      </c>
      <c r="C629" t="s">
        <v>35</v>
      </c>
      <c r="D629" t="s">
        <v>36</v>
      </c>
      <c r="E629" t="s">
        <v>37</v>
      </c>
      <c r="F629" t="s">
        <v>113</v>
      </c>
      <c r="G629" t="s">
        <v>37</v>
      </c>
      <c r="J629" t="s">
        <v>51</v>
      </c>
      <c r="K629">
        <v>2772895</v>
      </c>
      <c r="M629">
        <v>1.25</v>
      </c>
      <c r="W629">
        <v>0.0</v>
      </c>
      <c r="X629">
        <v>0.0</v>
      </c>
      <c r="Y629">
        <v>0.0</v>
      </c>
      <c r="Z629">
        <v>0.0</v>
      </c>
      <c r="AA629">
        <v>0.0</v>
      </c>
      <c r="AB629">
        <v>0.0</v>
      </c>
      <c r="AC629">
        <v>0.0</v>
      </c>
      <c r="AD629">
        <v>0.0</v>
      </c>
    </row>
    <row r="630" spans="1:33">
      <c r="A630" t="s">
        <v>1608</v>
      </c>
      <c r="B630" t="s">
        <v>1609</v>
      </c>
      <c r="C630" t="s">
        <v>35</v>
      </c>
      <c r="D630" t="s">
        <v>36</v>
      </c>
      <c r="E630" t="s">
        <v>37</v>
      </c>
      <c r="F630" t="s">
        <v>113</v>
      </c>
      <c r="G630" t="s">
        <v>37</v>
      </c>
      <c r="J630" t="s">
        <v>76</v>
      </c>
      <c r="K630">
        <v>1607016</v>
      </c>
      <c r="M630">
        <v>0.35</v>
      </c>
      <c r="P630" t="s">
        <v>46</v>
      </c>
      <c r="W630">
        <v>0.0</v>
      </c>
      <c r="X630">
        <v>0.0</v>
      </c>
      <c r="Y630">
        <v>0.0</v>
      </c>
      <c r="Z630">
        <v>0.0</v>
      </c>
      <c r="AA630">
        <v>0.0</v>
      </c>
      <c r="AB630">
        <v>0.0</v>
      </c>
      <c r="AC630">
        <v>0.0</v>
      </c>
      <c r="AD630">
        <v>0.0</v>
      </c>
    </row>
    <row r="631" spans="1:33">
      <c r="A631" t="s">
        <v>1610</v>
      </c>
      <c r="B631" t="s">
        <v>1611</v>
      </c>
      <c r="C631" t="s">
        <v>35</v>
      </c>
      <c r="D631" t="s">
        <v>36</v>
      </c>
      <c r="E631" t="s">
        <v>37</v>
      </c>
      <c r="F631" t="s">
        <v>113</v>
      </c>
      <c r="G631" t="s">
        <v>37</v>
      </c>
      <c r="J631" t="s">
        <v>62</v>
      </c>
      <c r="K631">
        <v>738435</v>
      </c>
      <c r="M631">
        <v>1.16</v>
      </c>
      <c r="N631" t="s">
        <v>169</v>
      </c>
      <c r="P631" t="s">
        <v>87</v>
      </c>
      <c r="R631" t="s">
        <v>48</v>
      </c>
      <c r="W631">
        <v>0.0</v>
      </c>
      <c r="X631">
        <v>0.0</v>
      </c>
      <c r="Y631">
        <v>0.0</v>
      </c>
      <c r="Z631">
        <v>0.0</v>
      </c>
      <c r="AA631">
        <v>0.0</v>
      </c>
      <c r="AB631">
        <v>0.0</v>
      </c>
      <c r="AC631">
        <v>0.0</v>
      </c>
      <c r="AD631">
        <v>0.0</v>
      </c>
    </row>
    <row r="632" spans="1:33">
      <c r="A632" t="s">
        <v>1612</v>
      </c>
      <c r="B632" t="s">
        <v>1611</v>
      </c>
      <c r="C632" t="s">
        <v>35</v>
      </c>
      <c r="D632" t="s">
        <v>36</v>
      </c>
      <c r="E632" t="s">
        <v>37</v>
      </c>
      <c r="F632" t="s">
        <v>113</v>
      </c>
      <c r="G632" t="s">
        <v>37</v>
      </c>
      <c r="J632" t="s">
        <v>72</v>
      </c>
      <c r="K632" t="s">
        <v>1613</v>
      </c>
      <c r="M632">
        <v>1.43</v>
      </c>
      <c r="N632" t="s">
        <v>169</v>
      </c>
      <c r="S632">
        <v>1250</v>
      </c>
      <c r="T632">
        <v>1</v>
      </c>
      <c r="U632">
        <v>1250</v>
      </c>
      <c r="V632">
        <v>1</v>
      </c>
      <c r="W632">
        <v>0.0</v>
      </c>
      <c r="X632">
        <v>0.0</v>
      </c>
      <c r="Y632">
        <v>0.0</v>
      </c>
      <c r="Z632">
        <v>0.0</v>
      </c>
      <c r="AA632">
        <v>0.0</v>
      </c>
      <c r="AB632">
        <v>0.0</v>
      </c>
      <c r="AC632">
        <v>0.0</v>
      </c>
      <c r="AD632">
        <v>0.0</v>
      </c>
    </row>
    <row r="633" spans="1:33">
      <c r="A633" t="s">
        <v>1614</v>
      </c>
      <c r="B633" t="s">
        <v>1615</v>
      </c>
      <c r="C633" t="s">
        <v>35</v>
      </c>
      <c r="D633" t="s">
        <v>36</v>
      </c>
      <c r="E633" t="s">
        <v>37</v>
      </c>
      <c r="F633" t="s">
        <v>113</v>
      </c>
      <c r="G633" t="s">
        <v>37</v>
      </c>
      <c r="J633" t="s">
        <v>478</v>
      </c>
      <c r="K633">
        <v>738435</v>
      </c>
      <c r="M633">
        <v>1.16</v>
      </c>
      <c r="N633" t="s">
        <v>169</v>
      </c>
      <c r="S633">
        <v>1250</v>
      </c>
      <c r="T633">
        <v>1</v>
      </c>
      <c r="U633">
        <v>1250</v>
      </c>
      <c r="V633">
        <v>1</v>
      </c>
      <c r="W633">
        <v>0.0</v>
      </c>
      <c r="X633">
        <v>0.0</v>
      </c>
      <c r="Y633">
        <v>0.0</v>
      </c>
      <c r="Z633">
        <v>0.0</v>
      </c>
      <c r="AA633">
        <v>0.0</v>
      </c>
      <c r="AB633">
        <v>0.0</v>
      </c>
      <c r="AC633">
        <v>0.0</v>
      </c>
      <c r="AD633">
        <v>0.0</v>
      </c>
    </row>
    <row r="634" spans="1:33">
      <c r="A634" t="s">
        <v>1616</v>
      </c>
      <c r="B634" t="s">
        <v>1617</v>
      </c>
      <c r="C634" t="s">
        <v>35</v>
      </c>
      <c r="D634" t="s">
        <v>36</v>
      </c>
      <c r="E634" t="s">
        <v>37</v>
      </c>
      <c r="F634" t="s">
        <v>113</v>
      </c>
      <c r="G634" t="s">
        <v>37</v>
      </c>
      <c r="J634" t="s">
        <v>51</v>
      </c>
      <c r="K634">
        <v>738435</v>
      </c>
      <c r="M634">
        <v>1.16</v>
      </c>
      <c r="W634">
        <v>0.0</v>
      </c>
      <c r="X634">
        <v>0.0</v>
      </c>
      <c r="Y634">
        <v>0.0</v>
      </c>
      <c r="Z634">
        <v>0.0</v>
      </c>
      <c r="AA634">
        <v>0.0</v>
      </c>
      <c r="AB634">
        <v>0.0</v>
      </c>
      <c r="AC634">
        <v>0.0</v>
      </c>
      <c r="AD634">
        <v>0.0</v>
      </c>
    </row>
    <row r="635" spans="1:33">
      <c r="A635" t="s">
        <v>1618</v>
      </c>
      <c r="B635" t="s">
        <v>1619</v>
      </c>
      <c r="C635" t="s">
        <v>35</v>
      </c>
      <c r="D635" t="s">
        <v>36</v>
      </c>
      <c r="E635" t="s">
        <v>37</v>
      </c>
      <c r="F635" t="s">
        <v>113</v>
      </c>
      <c r="G635" t="s">
        <v>37</v>
      </c>
      <c r="J635" t="s">
        <v>76</v>
      </c>
      <c r="K635">
        <v>1609005</v>
      </c>
      <c r="M635">
        <v>2.8</v>
      </c>
      <c r="P635" t="s">
        <v>46</v>
      </c>
      <c r="W635">
        <v>0.0</v>
      </c>
      <c r="X635">
        <v>0.0</v>
      </c>
      <c r="Y635">
        <v>0.0</v>
      </c>
      <c r="Z635">
        <v>0.0</v>
      </c>
      <c r="AA635">
        <v>0.0</v>
      </c>
      <c r="AB635">
        <v>0.0</v>
      </c>
      <c r="AC635">
        <v>0.0</v>
      </c>
      <c r="AD635">
        <v>0.0</v>
      </c>
    </row>
    <row r="636" spans="1:33">
      <c r="A636" t="s">
        <v>1620</v>
      </c>
      <c r="B636" t="s">
        <v>1621</v>
      </c>
      <c r="C636" t="s">
        <v>35</v>
      </c>
      <c r="D636" t="s">
        <v>36</v>
      </c>
      <c r="E636" t="s">
        <v>37</v>
      </c>
      <c r="F636" t="s">
        <v>113</v>
      </c>
      <c r="G636" t="s">
        <v>37</v>
      </c>
      <c r="J636" t="s">
        <v>62</v>
      </c>
      <c r="K636">
        <v>504308</v>
      </c>
      <c r="M636">
        <v>6.69</v>
      </c>
      <c r="P636" t="s">
        <v>87</v>
      </c>
      <c r="R636" t="s">
        <v>471</v>
      </c>
      <c r="W636">
        <v>0.0</v>
      </c>
      <c r="X636">
        <v>0.0</v>
      </c>
      <c r="Y636">
        <v>0.0</v>
      </c>
      <c r="Z636">
        <v>0.0</v>
      </c>
      <c r="AA636">
        <v>0.0</v>
      </c>
      <c r="AB636">
        <v>0.0</v>
      </c>
      <c r="AC636">
        <v>0.0</v>
      </c>
      <c r="AD636">
        <v>0.0</v>
      </c>
    </row>
    <row r="637" spans="1:33">
      <c r="A637" t="s">
        <v>1622</v>
      </c>
      <c r="B637" t="s">
        <v>1623</v>
      </c>
      <c r="C637" t="s">
        <v>35</v>
      </c>
      <c r="D637" t="s">
        <v>36</v>
      </c>
      <c r="E637" t="s">
        <v>37</v>
      </c>
      <c r="F637" t="s">
        <v>113</v>
      </c>
      <c r="G637" t="s">
        <v>37</v>
      </c>
      <c r="J637" t="s">
        <v>72</v>
      </c>
      <c r="K637" t="s">
        <v>1624</v>
      </c>
      <c r="M637">
        <v>7.06</v>
      </c>
      <c r="N637" t="s">
        <v>169</v>
      </c>
      <c r="S637">
        <v>1250</v>
      </c>
      <c r="T637">
        <v>1</v>
      </c>
      <c r="U637">
        <v>1250</v>
      </c>
      <c r="V637">
        <v>1</v>
      </c>
      <c r="W637">
        <v>0.0</v>
      </c>
      <c r="X637">
        <v>0.0</v>
      </c>
      <c r="Y637">
        <v>0.0</v>
      </c>
      <c r="Z637">
        <v>0.0</v>
      </c>
      <c r="AA637">
        <v>0.0</v>
      </c>
      <c r="AB637">
        <v>0.0</v>
      </c>
      <c r="AC637">
        <v>0.0</v>
      </c>
      <c r="AD637">
        <v>0.0</v>
      </c>
    </row>
    <row r="638" spans="1:33">
      <c r="A638" t="s">
        <v>1625</v>
      </c>
      <c r="B638" t="s">
        <v>1626</v>
      </c>
      <c r="C638" t="s">
        <v>35</v>
      </c>
      <c r="D638" t="s">
        <v>36</v>
      </c>
      <c r="E638" t="s">
        <v>37</v>
      </c>
      <c r="F638" t="s">
        <v>113</v>
      </c>
      <c r="G638" t="s">
        <v>37</v>
      </c>
      <c r="J638" t="s">
        <v>478</v>
      </c>
      <c r="K638">
        <v>504308</v>
      </c>
      <c r="M638">
        <v>6.69</v>
      </c>
      <c r="N638" t="s">
        <v>169</v>
      </c>
      <c r="S638">
        <v>1250</v>
      </c>
      <c r="T638">
        <v>1</v>
      </c>
      <c r="U638">
        <v>1250</v>
      </c>
      <c r="V638">
        <v>1</v>
      </c>
      <c r="W638">
        <v>0.0</v>
      </c>
      <c r="X638">
        <v>0.0</v>
      </c>
      <c r="Y638">
        <v>0.0</v>
      </c>
      <c r="Z638">
        <v>0.0</v>
      </c>
      <c r="AA638">
        <v>0.0</v>
      </c>
      <c r="AB638">
        <v>0.0</v>
      </c>
      <c r="AC638">
        <v>0.0</v>
      </c>
      <c r="AD638">
        <v>0.0</v>
      </c>
    </row>
    <row r="639" spans="1:33">
      <c r="A639" t="s">
        <v>1627</v>
      </c>
      <c r="B639" t="s">
        <v>1628</v>
      </c>
      <c r="C639" t="s">
        <v>35</v>
      </c>
      <c r="D639" t="s">
        <v>36</v>
      </c>
      <c r="E639" t="s">
        <v>37</v>
      </c>
      <c r="F639" t="s">
        <v>113</v>
      </c>
      <c r="G639" t="s">
        <v>37</v>
      </c>
      <c r="J639" t="s">
        <v>51</v>
      </c>
      <c r="K639">
        <v>504308</v>
      </c>
      <c r="M639">
        <v>6.69</v>
      </c>
      <c r="W639">
        <v>0.0</v>
      </c>
      <c r="X639">
        <v>0.0</v>
      </c>
      <c r="Y639">
        <v>0.0</v>
      </c>
      <c r="Z639">
        <v>0.0</v>
      </c>
      <c r="AA639">
        <v>0.0</v>
      </c>
      <c r="AB639">
        <v>0.0</v>
      </c>
      <c r="AC639">
        <v>0.0</v>
      </c>
      <c r="AD639">
        <v>0.0</v>
      </c>
    </row>
    <row r="640" spans="1:33">
      <c r="A640" t="s">
        <v>1629</v>
      </c>
      <c r="B640" t="s">
        <v>1630</v>
      </c>
      <c r="C640" t="s">
        <v>35</v>
      </c>
      <c r="D640" t="s">
        <v>36</v>
      </c>
      <c r="E640" t="s">
        <v>37</v>
      </c>
      <c r="F640" t="s">
        <v>113</v>
      </c>
      <c r="G640" t="s">
        <v>37</v>
      </c>
      <c r="J640" t="s">
        <v>76</v>
      </c>
      <c r="K640">
        <v>1595001</v>
      </c>
      <c r="M640">
        <v>4.37</v>
      </c>
      <c r="P640" t="s">
        <v>46</v>
      </c>
      <c r="W640">
        <v>0.0</v>
      </c>
      <c r="X640">
        <v>0.0</v>
      </c>
      <c r="Y640">
        <v>0.0</v>
      </c>
      <c r="Z640">
        <v>0.0</v>
      </c>
      <c r="AA640">
        <v>0.0</v>
      </c>
      <c r="AB640">
        <v>0.0</v>
      </c>
      <c r="AC640">
        <v>0.0</v>
      </c>
      <c r="AD640">
        <v>0.0</v>
      </c>
    </row>
    <row r="641" spans="1:33">
      <c r="A641" t="s">
        <v>1631</v>
      </c>
      <c r="B641" t="s">
        <v>1632</v>
      </c>
      <c r="C641" t="s">
        <v>35</v>
      </c>
      <c r="D641" t="s">
        <v>641</v>
      </c>
      <c r="E641" t="s">
        <v>37</v>
      </c>
      <c r="F641" t="s">
        <v>113</v>
      </c>
      <c r="G641" t="s">
        <v>37</v>
      </c>
      <c r="J641" t="s">
        <v>62</v>
      </c>
      <c r="K641">
        <v>24418180</v>
      </c>
      <c r="M641">
        <v>1.35</v>
      </c>
      <c r="N641" t="s">
        <v>169</v>
      </c>
      <c r="P641" t="s">
        <v>87</v>
      </c>
      <c r="R641" t="s">
        <v>48</v>
      </c>
      <c r="W641">
        <v>0.0</v>
      </c>
      <c r="X641">
        <v>0.0</v>
      </c>
      <c r="Y641">
        <v>0.0</v>
      </c>
      <c r="Z641">
        <v>0.0</v>
      </c>
      <c r="AA641">
        <v>0.0</v>
      </c>
      <c r="AB641">
        <v>0.0</v>
      </c>
      <c r="AC641">
        <v>0.0</v>
      </c>
      <c r="AD641">
        <v>0.0</v>
      </c>
    </row>
    <row r="642" spans="1:33">
      <c r="A642" t="s">
        <v>1633</v>
      </c>
      <c r="B642" t="s">
        <v>1634</v>
      </c>
      <c r="C642" t="s">
        <v>35</v>
      </c>
      <c r="D642" t="s">
        <v>641</v>
      </c>
      <c r="E642" t="s">
        <v>37</v>
      </c>
      <c r="F642" t="s">
        <v>113</v>
      </c>
      <c r="G642" t="s">
        <v>37</v>
      </c>
      <c r="H642">
        <v>5000</v>
      </c>
      <c r="J642" t="s">
        <v>72</v>
      </c>
      <c r="K642" t="s">
        <v>1635</v>
      </c>
      <c r="M642">
        <v>1.42</v>
      </c>
      <c r="N642" t="s">
        <v>169</v>
      </c>
      <c r="S642">
        <v>5000</v>
      </c>
      <c r="T642">
        <v>1</v>
      </c>
      <c r="U642">
        <v>5000</v>
      </c>
      <c r="V642">
        <v>1</v>
      </c>
      <c r="W642">
        <v>0.0</v>
      </c>
      <c r="X642">
        <v>0.0</v>
      </c>
      <c r="Y642">
        <v>0.0</v>
      </c>
      <c r="Z642">
        <v>0.0</v>
      </c>
      <c r="AA642">
        <v>0.0</v>
      </c>
      <c r="AB642">
        <v>0.0</v>
      </c>
      <c r="AC642">
        <v>0.0</v>
      </c>
      <c r="AD642">
        <v>0.0</v>
      </c>
    </row>
    <row r="643" spans="1:33">
      <c r="A643" t="s">
        <v>1636</v>
      </c>
      <c r="B643" t="s">
        <v>1637</v>
      </c>
      <c r="C643" t="s">
        <v>35</v>
      </c>
      <c r="D643" t="s">
        <v>641</v>
      </c>
      <c r="E643" t="s">
        <v>37</v>
      </c>
      <c r="F643" t="s">
        <v>113</v>
      </c>
      <c r="G643" t="s">
        <v>37</v>
      </c>
      <c r="J643" t="s">
        <v>478</v>
      </c>
      <c r="K643">
        <v>24418180</v>
      </c>
      <c r="M643">
        <v>1.35</v>
      </c>
      <c r="N643" t="s">
        <v>169</v>
      </c>
      <c r="S643">
        <v>5000</v>
      </c>
      <c r="T643">
        <v>1</v>
      </c>
      <c r="U643">
        <v>5000</v>
      </c>
      <c r="V643">
        <v>1</v>
      </c>
      <c r="W643">
        <v>0.0</v>
      </c>
      <c r="X643">
        <v>0.0</v>
      </c>
      <c r="Y643">
        <v>0.0</v>
      </c>
      <c r="Z643">
        <v>0.0</v>
      </c>
      <c r="AA643">
        <v>0.0</v>
      </c>
      <c r="AB643">
        <v>0.0</v>
      </c>
      <c r="AC643">
        <v>0.0</v>
      </c>
      <c r="AD643">
        <v>0.0</v>
      </c>
    </row>
    <row r="644" spans="1:33">
      <c r="A644" t="s">
        <v>1638</v>
      </c>
      <c r="B644" t="s">
        <v>1639</v>
      </c>
      <c r="C644" t="s">
        <v>35</v>
      </c>
      <c r="D644" t="s">
        <v>641</v>
      </c>
      <c r="E644" t="s">
        <v>37</v>
      </c>
      <c r="F644" t="s">
        <v>113</v>
      </c>
      <c r="G644" t="s">
        <v>37</v>
      </c>
      <c r="J644" t="s">
        <v>51</v>
      </c>
      <c r="K644">
        <v>24418180</v>
      </c>
      <c r="M644">
        <v>1.35</v>
      </c>
      <c r="N644" t="s">
        <v>169</v>
      </c>
    </row>
    <row r="645" spans="1:33">
      <c r="A645" t="s">
        <v>1640</v>
      </c>
      <c r="B645" t="s">
        <v>1641</v>
      </c>
      <c r="C645" t="s">
        <v>35</v>
      </c>
      <c r="D645" t="s">
        <v>641</v>
      </c>
      <c r="E645" t="s">
        <v>37</v>
      </c>
      <c r="F645" t="s">
        <v>113</v>
      </c>
      <c r="G645" t="s">
        <v>37</v>
      </c>
      <c r="J645" t="s">
        <v>76</v>
      </c>
      <c r="K645">
        <v>1588001</v>
      </c>
      <c r="M645">
        <v>1.28</v>
      </c>
      <c r="N645" t="s">
        <v>169</v>
      </c>
      <c r="P645" t="s">
        <v>46</v>
      </c>
    </row>
    <row r="646" spans="1:33">
      <c r="A646" t="s">
        <v>1642</v>
      </c>
      <c r="B646" t="s">
        <v>1643</v>
      </c>
      <c r="C646" t="s">
        <v>35</v>
      </c>
      <c r="D646" t="s">
        <v>228</v>
      </c>
      <c r="E646" t="s">
        <v>37</v>
      </c>
      <c r="F646" t="s">
        <v>113</v>
      </c>
      <c r="G646" t="s">
        <v>37</v>
      </c>
      <c r="J646" t="s">
        <v>62</v>
      </c>
      <c r="K646">
        <v>2498462</v>
      </c>
      <c r="M646">
        <v>2.25</v>
      </c>
      <c r="N646" t="s">
        <v>169</v>
      </c>
      <c r="P646" t="s">
        <v>87</v>
      </c>
      <c r="R646" t="s">
        <v>48</v>
      </c>
      <c r="W646">
        <v>0.0</v>
      </c>
      <c r="X646">
        <v>0.0</v>
      </c>
      <c r="Y646">
        <v>0.0</v>
      </c>
      <c r="Z646">
        <v>0.0</v>
      </c>
      <c r="AA646">
        <v>0.0</v>
      </c>
      <c r="AB646">
        <v>0.0</v>
      </c>
      <c r="AC646">
        <v>0.0</v>
      </c>
      <c r="AD646">
        <v>0.0</v>
      </c>
    </row>
    <row r="647" spans="1:33">
      <c r="A647" t="s">
        <v>1644</v>
      </c>
      <c r="B647" t="s">
        <v>1645</v>
      </c>
      <c r="C647" t="s">
        <v>35</v>
      </c>
      <c r="D647" t="s">
        <v>228</v>
      </c>
      <c r="E647" t="s">
        <v>37</v>
      </c>
      <c r="F647" t="s">
        <v>113</v>
      </c>
      <c r="G647" t="s">
        <v>37</v>
      </c>
      <c r="H647">
        <v>12</v>
      </c>
      <c r="J647" t="s">
        <v>72</v>
      </c>
      <c r="K647" t="s">
        <v>1646</v>
      </c>
      <c r="M647">
        <v>2.2</v>
      </c>
      <c r="N647" t="s">
        <v>169</v>
      </c>
      <c r="S647">
        <v>276480</v>
      </c>
      <c r="T647">
        <v>1</v>
      </c>
      <c r="U647">
        <v>276480</v>
      </c>
      <c r="V647">
        <v>1</v>
      </c>
      <c r="W647">
        <v>0.0</v>
      </c>
      <c r="X647">
        <v>0.0</v>
      </c>
      <c r="Y647">
        <v>0.0</v>
      </c>
      <c r="Z647">
        <v>0.0</v>
      </c>
      <c r="AA647">
        <v>0.0</v>
      </c>
      <c r="AB647">
        <v>0.0</v>
      </c>
      <c r="AC647">
        <v>0.0</v>
      </c>
      <c r="AD647">
        <v>0.0</v>
      </c>
    </row>
    <row r="648" spans="1:33">
      <c r="A648" t="s">
        <v>1647</v>
      </c>
      <c r="B648" t="s">
        <v>1648</v>
      </c>
      <c r="C648" t="s">
        <v>35</v>
      </c>
      <c r="D648" t="s">
        <v>36</v>
      </c>
      <c r="E648" t="s">
        <v>37</v>
      </c>
      <c r="F648" t="s">
        <v>113</v>
      </c>
      <c r="G648" t="s">
        <v>37</v>
      </c>
      <c r="H648">
        <v>12</v>
      </c>
      <c r="J648" t="s">
        <v>478</v>
      </c>
      <c r="K648">
        <v>2498462</v>
      </c>
      <c r="M648">
        <v>0.19</v>
      </c>
      <c r="N648" t="s">
        <v>169</v>
      </c>
      <c r="S648">
        <v>276480</v>
      </c>
      <c r="T648">
        <v>1</v>
      </c>
      <c r="U648">
        <v>276480</v>
      </c>
      <c r="V648">
        <v>1</v>
      </c>
      <c r="W648">
        <v>0.0</v>
      </c>
      <c r="X648">
        <v>0.0</v>
      </c>
      <c r="Y648">
        <v>0.0</v>
      </c>
      <c r="Z648">
        <v>0.0</v>
      </c>
      <c r="AA648">
        <v>0.0</v>
      </c>
      <c r="AB648">
        <v>0.0</v>
      </c>
      <c r="AC648">
        <v>0.0</v>
      </c>
      <c r="AD648">
        <v>0.0</v>
      </c>
    </row>
    <row r="649" spans="1:33">
      <c r="A649" t="s">
        <v>1649</v>
      </c>
      <c r="B649" t="s">
        <v>1650</v>
      </c>
      <c r="C649" t="s">
        <v>35</v>
      </c>
      <c r="D649" t="s">
        <v>228</v>
      </c>
      <c r="E649" t="s">
        <v>37</v>
      </c>
      <c r="F649" t="s">
        <v>113</v>
      </c>
      <c r="G649" t="s">
        <v>37</v>
      </c>
      <c r="H649">
        <v>12</v>
      </c>
      <c r="J649" t="s">
        <v>51</v>
      </c>
      <c r="K649">
        <v>2498462</v>
      </c>
      <c r="M649">
        <v>2.25</v>
      </c>
      <c r="N649" t="s">
        <v>169</v>
      </c>
    </row>
    <row r="650" spans="1:33">
      <c r="A650" t="s">
        <v>1651</v>
      </c>
      <c r="B650" t="s">
        <v>1652</v>
      </c>
      <c r="C650" t="s">
        <v>35</v>
      </c>
      <c r="D650" t="s">
        <v>228</v>
      </c>
      <c r="E650" t="s">
        <v>37</v>
      </c>
      <c r="F650" t="s">
        <v>113</v>
      </c>
      <c r="G650" t="s">
        <v>37</v>
      </c>
      <c r="H650">
        <v>12</v>
      </c>
      <c r="J650" t="s">
        <v>76</v>
      </c>
      <c r="K650">
        <v>3099016</v>
      </c>
      <c r="M650">
        <v>3.78</v>
      </c>
      <c r="N650" t="s">
        <v>169</v>
      </c>
      <c r="P650" t="s">
        <v>46</v>
      </c>
    </row>
    <row r="651" spans="1:33">
      <c r="A651" t="s">
        <v>1653</v>
      </c>
      <c r="B651" t="s">
        <v>1654</v>
      </c>
      <c r="C651" t="s">
        <v>35</v>
      </c>
      <c r="D651" t="s">
        <v>228</v>
      </c>
      <c r="E651" t="s">
        <v>37</v>
      </c>
      <c r="F651" t="s">
        <v>113</v>
      </c>
      <c r="G651" t="s">
        <v>37</v>
      </c>
      <c r="H651">
        <v>72</v>
      </c>
      <c r="J651" t="s">
        <v>72</v>
      </c>
      <c r="K651" t="s">
        <v>1655</v>
      </c>
      <c r="M651">
        <v>4.72</v>
      </c>
      <c r="N651" t="s">
        <v>169</v>
      </c>
      <c r="S651">
        <v>276480</v>
      </c>
      <c r="T651">
        <v>1</v>
      </c>
      <c r="U651">
        <v>276480</v>
      </c>
      <c r="V651">
        <v>1</v>
      </c>
      <c r="W651">
        <v>0.0</v>
      </c>
      <c r="X651">
        <v>0.0</v>
      </c>
      <c r="Y651">
        <v>0.0</v>
      </c>
      <c r="Z651">
        <v>0.0</v>
      </c>
      <c r="AA651">
        <v>0.0</v>
      </c>
      <c r="AB651">
        <v>0.0</v>
      </c>
      <c r="AC651">
        <v>0.0</v>
      </c>
      <c r="AD651">
        <v>0.0</v>
      </c>
    </row>
    <row r="652" spans="1:33">
      <c r="A652" t="s">
        <v>1656</v>
      </c>
      <c r="B652" t="s">
        <v>1657</v>
      </c>
      <c r="C652" t="s">
        <v>35</v>
      </c>
      <c r="D652" t="s">
        <v>36</v>
      </c>
      <c r="E652" t="s">
        <v>37</v>
      </c>
      <c r="F652" t="s">
        <v>113</v>
      </c>
      <c r="G652" t="s">
        <v>37</v>
      </c>
      <c r="H652">
        <v>48</v>
      </c>
      <c r="J652" t="s">
        <v>478</v>
      </c>
      <c r="K652">
        <v>24424025</v>
      </c>
      <c r="M652">
        <v>0.08</v>
      </c>
      <c r="N652" t="s">
        <v>169</v>
      </c>
      <c r="S652">
        <v>276480</v>
      </c>
      <c r="T652">
        <v>1</v>
      </c>
      <c r="U652">
        <v>276480</v>
      </c>
      <c r="V652">
        <v>1</v>
      </c>
      <c r="W652">
        <v>0.0</v>
      </c>
      <c r="X652">
        <v>0.0</v>
      </c>
      <c r="Y652">
        <v>0.0</v>
      </c>
      <c r="Z652">
        <v>0.0</v>
      </c>
      <c r="AA652">
        <v>0.0</v>
      </c>
      <c r="AB652">
        <v>0.0</v>
      </c>
      <c r="AC652">
        <v>0.0</v>
      </c>
      <c r="AD652">
        <v>0.0</v>
      </c>
    </row>
    <row r="653" spans="1:33">
      <c r="A653" t="s">
        <v>1658</v>
      </c>
      <c r="B653" t="s">
        <v>1659</v>
      </c>
      <c r="C653" t="s">
        <v>35</v>
      </c>
      <c r="D653" t="s">
        <v>228</v>
      </c>
      <c r="E653" t="s">
        <v>37</v>
      </c>
      <c r="F653" t="s">
        <v>113</v>
      </c>
      <c r="G653" t="s">
        <v>37</v>
      </c>
      <c r="H653">
        <v>48</v>
      </c>
      <c r="J653" t="s">
        <v>51</v>
      </c>
      <c r="K653">
        <v>24424025</v>
      </c>
      <c r="M653">
        <v>3.56</v>
      </c>
      <c r="N653" t="s">
        <v>169</v>
      </c>
      <c r="W653">
        <v>0.0</v>
      </c>
      <c r="X653">
        <v>0.0</v>
      </c>
      <c r="Y653">
        <v>0.0</v>
      </c>
      <c r="Z653">
        <v>0.0</v>
      </c>
      <c r="AA653">
        <v>0.0</v>
      </c>
      <c r="AB653">
        <v>0.0</v>
      </c>
      <c r="AC653">
        <v>0.0</v>
      </c>
      <c r="AD653">
        <v>0.0</v>
      </c>
    </row>
    <row r="654" spans="1:33">
      <c r="A654" t="s">
        <v>1660</v>
      </c>
      <c r="B654" t="s">
        <v>1661</v>
      </c>
      <c r="C654" t="s">
        <v>35</v>
      </c>
      <c r="D654" t="s">
        <v>228</v>
      </c>
      <c r="E654" t="s">
        <v>37</v>
      </c>
      <c r="F654" t="s">
        <v>113</v>
      </c>
      <c r="G654" t="s">
        <v>37</v>
      </c>
      <c r="H654">
        <v>72</v>
      </c>
      <c r="J654" t="s">
        <v>76</v>
      </c>
      <c r="K654">
        <v>4321012</v>
      </c>
      <c r="M654">
        <v>8.4</v>
      </c>
      <c r="N654" t="s">
        <v>169</v>
      </c>
      <c r="P654" t="s">
        <v>46</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2026-03-08T14:53:14+00:00</dcterms:created>
  <dcterms:modified xsi:type="dcterms:W3CDTF">2026-03-08T14:53:14+00:00</dcterms:modified>
  <dc:title>Untitled Spreadsheet</dc:title>
  <dc:description/>
  <dc:subject/>
  <cp:keywords/>
  <cp:category/>
</cp:coreProperties>
</file>